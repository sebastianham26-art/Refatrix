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9E2886E4-C3B6-4670-8684-3FEA2FB8B6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leto" sheetId="1" r:id="rId1"/>
  </sheets>
  <definedNames>
    <definedName name="_xlnm._FilterDatabase" localSheetId="0" hidden="1">Completo!$A$4:$L$350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L355" i="1" l="1"/>
  <c r="L352" i="1"/>
  <c r="L353" i="1" l="1"/>
  <c r="L354" i="1" s="1"/>
</calcChain>
</file>

<file path=xl/sharedStrings.xml><?xml version="1.0" encoding="utf-8"?>
<sst xmlns="http://schemas.openxmlformats.org/spreadsheetml/2006/main" count="2073" uniqueCount="472">
  <si>
    <t/>
  </si>
  <si>
    <t>Tasa de descuento sobre Precio Lista CTR:</t>
  </si>
  <si>
    <t>Rojo = código que aplica a varios vehículos (línea repetida)   ·   Azul = vehículo principal del código (única línea que suma en el Subtotal)   ·   Existencia = en almacén hoy   ·   Disponible = Existencia − apartado por otras cotizaciones   ·   En tránsito = ya embarcado   ·   En producción = pedido a fábrica, aún sin embarcar</t>
  </si>
  <si>
    <t>Vehículo (aplicación)</t>
  </si>
  <si>
    <t>Registro (VIO)</t>
  </si>
  <si>
    <t>Código CTR</t>
  </si>
  <si>
    <t>Código SYD</t>
  </si>
  <si>
    <t>Producto</t>
  </si>
  <si>
    <t>Aplicación</t>
  </si>
  <si>
    <t>Existencia</t>
  </si>
  <si>
    <t>Cantidad a pedir</t>
  </si>
  <si>
    <t>Precio Lista CTR</t>
  </si>
  <si>
    <t>Precio c/Desc.</t>
  </si>
  <si>
    <t>Importe (MXN)</t>
  </si>
  <si>
    <t>Principal (1=suma)</t>
  </si>
  <si>
    <t>Nissan Versa 2012-2019</t>
  </si>
  <si>
    <t>CB0336</t>
  </si>
  <si>
    <t>1016011</t>
  </si>
  <si>
    <t>RÓTULA</t>
  </si>
  <si>
    <t>NISSAN Kicks 2017-2024 // NISSAN March 2011-2025 // NISSAN V-Drive 2020-2025 // NISSAN Versa Ii 2020-2025 // NISSAN Versa-Note 2012-2019</t>
  </si>
  <si>
    <t>HORQUILLA</t>
  </si>
  <si>
    <t>NISSAN March 2011-2025 // NISSAN V-Drive 2020-2025 // NISSAN Versa-Note 2012-2019</t>
  </si>
  <si>
    <t>CL0477</t>
  </si>
  <si>
    <t>2116019</t>
  </si>
  <si>
    <t>TORNILLO ESTABILIZADOR</t>
  </si>
  <si>
    <t>NISSAN Cube 2009-2014 // NISSAN Kicks 2017-2024 // NISSAN March 2011-2025 // NISSAN Tiida 2006-2018 // NISSAN V-Drive 2020-2025 // NISSAN Versa Ii 2020-2025 // NISSAN Versa-Note 2012-2019</t>
  </si>
  <si>
    <t>CR0490</t>
  </si>
  <si>
    <t>1316020</t>
  </si>
  <si>
    <t>TERMINAL INTERIOR</t>
  </si>
  <si>
    <t>CE0536L</t>
  </si>
  <si>
    <t>1116025</t>
  </si>
  <si>
    <t>TERMINAL EXTERIOR</t>
  </si>
  <si>
    <t>CE0536R</t>
  </si>
  <si>
    <t>1116024</t>
  </si>
  <si>
    <t>Nissan Versa 2020-2025</t>
  </si>
  <si>
    <t>General Motors Aveo 2008-2018</t>
  </si>
  <si>
    <t>CHEVROLET, GMC Aveo I 2008-2018 // PONTIAC G3 2006-2009</t>
  </si>
  <si>
    <t>GV0130</t>
  </si>
  <si>
    <t>1403023</t>
  </si>
  <si>
    <t>BUJE</t>
  </si>
  <si>
    <t>GV0131</t>
  </si>
  <si>
    <t>1403024</t>
  </si>
  <si>
    <t>Volkswagen Jetta 4 PTAS 1985-1992</t>
  </si>
  <si>
    <t>CE0841L</t>
  </si>
  <si>
    <t>191-419-811</t>
  </si>
  <si>
    <t>SEAT Cordoba 2001-2002 // SEAT Ibiza 2001-2002 // VOLKSWAGEN Derby 1995-2001 [cortas] // VOLKSWAGEN Golf Ii 1987-1992 // VOLKSWAGEN Golf Iii 1993-1999 // VOLKSWAGEN Jetta Ii 1985-1992 // VOLKSWAGEN Jetta Iii 1993-1999 // VOLKSWAGEN Passat 1989-1993</t>
  </si>
  <si>
    <t>CE0841R</t>
  </si>
  <si>
    <t>191-419-812</t>
  </si>
  <si>
    <t>Volkswagen Jetta 4 PTAS 1993-1999</t>
  </si>
  <si>
    <t>Volkswagen Jetta 4 PTAS 1998-2015</t>
  </si>
  <si>
    <t>CR0714</t>
  </si>
  <si>
    <t>4J0-422-821</t>
  </si>
  <si>
    <t>SEAT Leon 2001-2005 [m16x1.5] // SEAT Toledo 2001-2005 [m16x1.5] // VOLKSWAGEN Beetle 1998-2011 [m16x1.5] // VOLKSWAGEN Golf Iv 1998-2007 [m16x1.5] // VOLKSWAGEN Jetta Iv 1998-2015 [m16x1.5] // VOLKSWAGEN Vento 2014-2022 [m16x1.5]</t>
  </si>
  <si>
    <t>CE0840L</t>
  </si>
  <si>
    <t>4J0-422-811 // 6Q0-422-812</t>
  </si>
  <si>
    <t>AUDI A1 2011-2018 // AUDI Tt 1998-2006 // SEAT Leon 2001-2005 // SEAT Toledo 2001-2005 // VOLKSWAGEN Beetle 1998-2011 // VOLKSWAGEN Golf Iv 1998-2007 // VOLKSWAGEN Jetta Iv 1998-2015 // SEAT Cordoba 2003-2009 // SEAT Ibiza 2003-2017 // VOLKSWAGEN Crossfox 2007-2017 // VOLKSWAGEN Gol 2009-2021 // VOLKSWAGEN Lupo 2005-2009 // VOLKSWAGEN Polo 2003-2007 // VOLKSWAGEN Polo 2013-2022 // VOLKSWAGEN Saveiro 2010-2022 // VOLKSWAGEN Sport Van 2003-2007 // VOLKSWAGEN Up 2016-2018</t>
  </si>
  <si>
    <t>CE0840R</t>
  </si>
  <si>
    <t>4J0-422-812 // 6Q0-422-811</t>
  </si>
  <si>
    <t>Nissan Tsuru 4 PTS 1988-1991</t>
  </si>
  <si>
    <t>CE0579</t>
  </si>
  <si>
    <t>48520-50A00</t>
  </si>
  <si>
    <t>NISSAN 240 Sx 1989-1998 // NISSAN Almera 2001-2005 // NISSAN Altima 1998-2001 // NISSAN Lucino 1996-2000 // NISSAN Nx 1987-1990 // NISSAN Pulsar 1987-1990 // NISSAN Sentra 1996-2006 // NISSAN Sentra Usa 1987-1990 // NISSAN Sentra Usa 1991-1995 [2 l] // NISSAN Stanza Wagon 1986-1988 // NISSAN Tsubame 1992-2004 // NISSAN Tsuru Ii 1988-1991 // NISSAN Tsuru Iii 1992-2017 // RENAULT Scala 2010-2013</t>
  </si>
  <si>
    <t>Nissan Tsuru 4 PTS 1992-2017</t>
  </si>
  <si>
    <t>CB0318</t>
  </si>
  <si>
    <t>40160-50Y00</t>
  </si>
  <si>
    <t>NISSAN Nx 1991-1994 // NISSAN Sentra Usa 1991-1995 // NISSAN Tsubame 1992-2004 // NISSAN Tsuru Iii 1992-2017</t>
  </si>
  <si>
    <t>CL0435</t>
  </si>
  <si>
    <t>54618-58Y10</t>
  </si>
  <si>
    <t>NISSAN Tsuru Iii 1992-2017 [trasero]</t>
  </si>
  <si>
    <t>Nissan Sentra 1996-2006</t>
  </si>
  <si>
    <t>Nissan Sentra 2007-2019</t>
  </si>
  <si>
    <t>CB0331</t>
  </si>
  <si>
    <t>1016009</t>
  </si>
  <si>
    <t>CHEVROLET, GMC City Express 2015-2018 [usa] // NISSAN Cube 2009-2014 // NISSAN Juke 2012-2017 // NISSAN Leaf 2012-2017 // NISSAN Sentra 2007-2019 // NISSAN Tiida 2006-2018</t>
  </si>
  <si>
    <t>Nissan NP300 2009-2015</t>
  </si>
  <si>
    <t>CB0315</t>
  </si>
  <si>
    <t>40160-01G50</t>
  </si>
  <si>
    <t>NISSAN D21 4X2 1986-1994 // NISSAN Frontier 4X2 1998-2004 // NISSAN Np300 Pickup 4X2 2009-2015 // NISSAN Pickup 4X2 1994-2008 // NISSAN Urvan 2000-2001</t>
  </si>
  <si>
    <t>CB0323</t>
  </si>
  <si>
    <t>1016003</t>
  </si>
  <si>
    <t>NISSAN Frontier 4X2 1998-2004 // NISSAN Frontier 4X4 Y Frontier V6 1998-2004 // NISSAN Np300 Pickup 4X2 2009-2015 // NISSAN Np300 Pickup 4X4 2009-2014 // NISSAN Xterra 1998-2004</t>
  </si>
  <si>
    <t>Volkswagen Vento 2014-2022</t>
  </si>
  <si>
    <t>CB0451L</t>
  </si>
  <si>
    <t>1026009</t>
  </si>
  <si>
    <t>AUDI A1 2011-2019 // SEAT Ibiza 2009-2017 // SEAT Toledo 2013-2019 // VOLKSWAGEN Gol 2009-2021 // VOLKSWAGEN Polo 2013-2022 // VOLKSWAGEN Saveiro 2010-2022 // VOLKSWAGEN Up 2016-2018 // VOLKSWAGEN Vento 2014-2022</t>
  </si>
  <si>
    <t>CB0451R</t>
  </si>
  <si>
    <t>1026008</t>
  </si>
  <si>
    <t>AUDI A1 2011-2019 // SEAT Ibiza 2009-2018 // SEAT Toledo 2013-2019 // VOLKSWAGEN Gol 2009-2021 // VOLKSWAGEN Polo 2013-2022 // VOLKSWAGEN Saveiro 2010-2022 // VOLKSWAGEN Up 2016-2018 // VOLKSWAGEN Vento 2014-2022</t>
  </si>
  <si>
    <t>CL0781</t>
  </si>
  <si>
    <t>2126004</t>
  </si>
  <si>
    <t>AUDI A1 2011-2022 // SEAT Arona 2018-2022 // SEAT Cordoba 2003-2009 // SEAT Ibiza 2003-2022 // SEAT Toledo 2013-2019 // VOLKSWAGEN Crossfox 2007-2017 // VOLKSWAGEN Gol 2009-2021 // VOLKSWAGEN Lupo 2005-2009 // VOLKSWAGEN Nivus 2022-2023 // VOLKSWAGEN Polo 2003-2007 // VOLKSWAGEN Polo 2013-2022 // VOLKSWAGEN Saveiro 2010-2022 // VOLKSWAGEN Sport Van 2003-2007 // VOLKSWAGEN T-Cross 2020-2022 // VOLKSWAGEN Up 2016-2018 // VOLKSWAGEN Vento 2014-2022 // VOLKSWAGEN Virtus 2020-2022</t>
  </si>
  <si>
    <t>Honda CR-V 2011-2014</t>
  </si>
  <si>
    <t>HONDA Crv 2012-2016</t>
  </si>
  <si>
    <t>CE0237</t>
  </si>
  <si>
    <t>1109033</t>
  </si>
  <si>
    <t>Nissan Tiida Sedan 2006-2018</t>
  </si>
  <si>
    <t>GV0758</t>
  </si>
  <si>
    <t>1416066 // 1416076</t>
  </si>
  <si>
    <t>NISSAN Tiida 2006-2018 // NISSAN Sentra 2013-2019</t>
  </si>
  <si>
    <t>Volkswagen Gol 2009-2021</t>
  </si>
  <si>
    <t>General Motors Spark 2011-2017</t>
  </si>
  <si>
    <t>CHEVROLET, GMC Beat 2018-2020 // CHEVROLET, GMC Spark 2011-2017 [classic]</t>
  </si>
  <si>
    <t>CQ0099L</t>
  </si>
  <si>
    <t>1503051</t>
  </si>
  <si>
    <t>CQ0099R</t>
  </si>
  <si>
    <t>1503052</t>
  </si>
  <si>
    <t>CL0248</t>
  </si>
  <si>
    <t>2103040</t>
  </si>
  <si>
    <t>Toyota Rav4 2001-2005</t>
  </si>
  <si>
    <t>CL0579</t>
  </si>
  <si>
    <t>2125002</t>
  </si>
  <si>
    <t>CHIREY Arrizo 8 2024-2025 // CHIREY Omoda 5 2023 // CHIREY Tiggo 2 Pro 2023-2025 // CHIREY Tiggo 4 Pro 2023-2025 // CHIREY Tiggo 7 Pro 2023-2025 // CHIREY Tiggo 8 Pro 2023-2025 // OMODA C5 2023-2025 // TOYOTA Rav4 2001-2005</t>
  </si>
  <si>
    <t>CL0592</t>
  </si>
  <si>
    <t>2125004</t>
  </si>
  <si>
    <t>TOYOTA Rav4 2001-2005</t>
  </si>
  <si>
    <t>CL0593</t>
  </si>
  <si>
    <t>2125003</t>
  </si>
  <si>
    <t>Chrysler Attitude 2006-2011</t>
  </si>
  <si>
    <t>CR0272</t>
  </si>
  <si>
    <t>1306007</t>
  </si>
  <si>
    <t>DODGE, CHRYSLER Attitude 2006-2011 // HYUNDAI Accent (2) 2006-2010</t>
  </si>
  <si>
    <t>General Motors Chevy 3 Ptas 1994-2012</t>
  </si>
  <si>
    <t>CB0628</t>
  </si>
  <si>
    <t>K-CHV</t>
  </si>
  <si>
    <t>CHEVROLET, GMC Chevy (Mex) 1994-2012</t>
  </si>
  <si>
    <t>Chrysler Journey 2009-2020</t>
  </si>
  <si>
    <t>CE0019</t>
  </si>
  <si>
    <t>1106005</t>
  </si>
  <si>
    <t>DODGE, CHRYSLER 200 2011-2014 // DODGE, CHRYSLER Avenger 2007-2014 // DODGE, CHRYSLER Caliber 2007-2012 // DODGE, CHRYSLER Caravan 2001-2007 // DODGE, CHRYSLER Cirrus 2007-2014 // DODGE, CHRYSLER Grand Caravan 2001-2007 // DODGE, CHRYSLER Grand Voyager 2001-2007 // DODGE, CHRYSLER Journey 2009-2020 // DODGE, CHRYSLER Pacifica 2004-2008 // DODGE, CHRYSLER Town &amp; Country 2001-2007 // DODGE, CHRYSLER Voyager 2001-2007 // JEEP Compass 2018-2022 // JEEP Patriot-Compass 2007-2017</t>
  </si>
  <si>
    <t>General Motors Matiz 5 Ptas 2010-2015</t>
  </si>
  <si>
    <t>CR0237</t>
  </si>
  <si>
    <t>1303005</t>
  </si>
  <si>
    <t>CHEVROLET, GMC Matiz 2010-2015 [hidraulica] // PONTIAC Matiz 2004-2009 [hidraulica]</t>
  </si>
  <si>
    <t>Nissan Platina 4 PTS 2002-2010</t>
  </si>
  <si>
    <t>CE0517</t>
  </si>
  <si>
    <t>7701-047-416</t>
  </si>
  <si>
    <t>NISSAN Micra 2005-2008 // NISSAN Platina 2002-2010 // RENAULT Clio 2002-2010 // RENAULT Clio Europa 2007-2009 // RENAULT Clio Sport 2002-2006 // RENAULT Kangoo 2004-2019 // RENAULT Megane 2001-2003 // RENAULT Scenic 2001-2004</t>
  </si>
  <si>
    <t>CE0518</t>
  </si>
  <si>
    <t>7701-047-415</t>
  </si>
  <si>
    <t>General Motors Silverado 1500 Cabina Regular 2001-2022</t>
  </si>
  <si>
    <t>CB0089</t>
  </si>
  <si>
    <t>2615047</t>
  </si>
  <si>
    <t>CADILLAC Escalade 2002-2020 [para horquilla de fierro colado] // CHEVROLET, GMC Avalanche 1500 2000-2016 [para horquilla de fierro colado] // CHEVROLET, GMC Cheyenne 2000-2018 [para horquilla de fierro colado] // CHEVROLET, GMC Express Van 1500 2003-2014 [para horquilla de fierro colado] // CHEVROLET, GMC Express Van 2500 7300 # 2003-2023 [para horquilla de fierro colado] // CHEVROLET, GMC Savanna 1500 2003-2014 [para horquilla de fierro colado] // CHEVROLET, GMC Savanna 2500 7300 # 2003-2014 [para horquilla de fierro colado] // CHEVROLET, GMC Sierra 1500 2007-2019 [para horquilla de fierro colado] // CHEVROLET, GMC Sierra 2500 2000-2006 [para horquilla de fierro colado] // CHEVROLET, GMC Silverado 1500 2007-2019 [para horquilla de fierro colado] // CHEVROLET, GMC Silverado 2500 2000-2013 [para horquilla de fierro colado] // CHEVROLET, GMC Suburban 1500 2000-2020 [para horquilla de fierro colado] // CHEVROLET, GMC Tahoe 2000-2020 [para horquilla de fierro colado] // CHEVROLET, GMC Yukon 1500 2000-2020 [para horquilla de fierro colado]</t>
  </si>
  <si>
    <t>Chrysler Grand Cherokee 1984-2007</t>
  </si>
  <si>
    <t>CL0015</t>
  </si>
  <si>
    <t>K-7258</t>
  </si>
  <si>
    <t>DODGE, CHRYSLER Caravan 1996-2000 // DODGE, CHRYSLER Caravan 2001-2007 // DODGE, CHRYSLER Grand Caravan 1996-2000 // DODGE, CHRYSLER Grand Caravan 2001-2007 // DODGE, CHRYSLER Grand Voyager 1996-2000 // DODGE, CHRYSLER Grand Voyager 2001-2007 // DODGE, CHRYSLER Town &amp; Country 1996-2000 // DODGE, CHRYSLER Town &amp; Country 2001-2007 // DODGE, CHRYSLER Voyager 1996-2000 // DODGE, CHRYSLER Voyager 2001-2007</t>
  </si>
  <si>
    <t>Chrysler Grand Cherokee 1994-2001</t>
  </si>
  <si>
    <t>Chrysler Patriot 2007-2017</t>
  </si>
  <si>
    <t>Honda Odyssey 1999-2004</t>
  </si>
  <si>
    <t>GV0279</t>
  </si>
  <si>
    <t>1409005</t>
  </si>
  <si>
    <t>ACURA Mdx 2001-2006 // HONDA Odyssey 1999-2004 [grande] // HONDA Pilot 2003-2008</t>
  </si>
  <si>
    <t>Chrysler Jeep Compass 2017-2022</t>
  </si>
  <si>
    <t>General Motors Tracker 1989-1998</t>
  </si>
  <si>
    <t>CB0350</t>
  </si>
  <si>
    <t>K-9739</t>
  </si>
  <si>
    <t>CHEVROLET, GMC Tracker 1989-1998 // GEO Tracker 1989-1997 // SUZUKI Jimny 1983-1988 // SUZUKI Sidekick 1989-1997</t>
  </si>
  <si>
    <t>General Motors S10 1982-2004</t>
  </si>
  <si>
    <t>CB0062</t>
  </si>
  <si>
    <t>K-6145</t>
  </si>
  <si>
    <t>CHEVROLET, GMC Belair 1977-1985 // CHEVROLET, GMC Biscayne 1977-1985 // CHEVROLET, GMC Camaro - Z28 1970-2002 // CHEVROLET, GMC Caprice 1977-1996 // CHEVROLET, GMC Chevelle 1973-1983 // CHEVROLET, GMC Chevy Ii 1975-1979 // CHEVROLET, GMC Impala 1977-1985 // CHEVROLET, GMC Impala Ss 1986-1996 // CHEVROLET, GMC Jimmy 1995-2004 // CHEVROLET, GMC Malibu 1973-1983 // CHEVROLET, GMC Montecarlo 1973-1988 // CHEVROLET, GMC Nova 1975-1979 // CHEVROLET, GMC S10, S10 Blazer, Jimmy, Sonoma, Bravada 1982-2004 // CHEVROLET, GMC S10, S10 Blazer, Jimmy, Sonoma, Bravada 4X4 1994-2004 // ISUZU Hombre 4X2 1996-2002 // OLDSMOBILE 88 Y 98 1977-1992 // PONTIAC Firebird 1982-2002 // PONTIAC Gto 1973 // PONTIAC Trans Am 1970-2002</t>
  </si>
  <si>
    <t>General Motors Silverado 2500 Cabina Regular 1996-2023</t>
  </si>
  <si>
    <t>Nissan Frontier L4 1998-2004</t>
  </si>
  <si>
    <t>Acura Mdx 2001-2006</t>
  </si>
  <si>
    <t>Audi A1 2011-2018</t>
  </si>
  <si>
    <t>Audi A1 2011-2019</t>
  </si>
  <si>
    <t>Audi A1 2011-2022</t>
  </si>
  <si>
    <t>Audi Tt 1998-2006</t>
  </si>
  <si>
    <t>Chirey Arrizo 8 2024-2025</t>
  </si>
  <si>
    <t>Chirey Omoda 5 2023</t>
  </si>
  <si>
    <t>Chirey Tiggo 2 Pro 2023-2025</t>
  </si>
  <si>
    <t>Chirey Tiggo 4 Pro 2023-2025</t>
  </si>
  <si>
    <t>Chirey Tiggo 7 Pro 2023-2025</t>
  </si>
  <si>
    <t>Chirey Tiggo 8 Pro 2023-2025</t>
  </si>
  <si>
    <t>Chrysler 200 2011-2014</t>
  </si>
  <si>
    <t>CL0397</t>
  </si>
  <si>
    <t>2115018</t>
  </si>
  <si>
    <t>DODGE, CHRYSLER 200 2011-2014 // DODGE, CHRYSLER Avenger 2007-2014 // DODGE, CHRYSLER Caliber 2007-2009 // DODGE, CHRYSLER Cirrus 2007-2014 // JEEP Patriot-Compass 2007-2009 // MITSUBISHI Asx 2013-2015 // MITSUBISHI Eclipse Cross 2019-2020 // MITSUBISHI Lancer 2008-2016 // MITSUBISHI Outlander 2007-2022</t>
  </si>
  <si>
    <t>CL0398</t>
  </si>
  <si>
    <t>2115017</t>
  </si>
  <si>
    <t>DODGE, CHRYSLER 200 2011-2014 // DODGE, CHRYSLER Avenger 2007-2014 // DODGE, CHRYSLER Caliber 2007-2009 // DODGE, CHRYSLER Cirrus 2007-2014 // JEEP Patriot-Compass 2007-2009 // MITSUBISHI Outlander 2007-2015</t>
  </si>
  <si>
    <t>Chrysler Avenger 1995-2000</t>
  </si>
  <si>
    <t>DODGE, CHRYSLER Avenger 1995-2000 // DODGE, CHRYSLER Cirrus-Stratus-Coupe 1995-2000 // DODGE, CHRYSLER Sebring Coupe 1995-2000 // EAGLE Talon 1995-1998 // MITSUBISHI Eclipse 1995-1999 // MITSUBISHI Galant 1994-1998</t>
  </si>
  <si>
    <t>CR0366</t>
  </si>
  <si>
    <t>EV-350</t>
  </si>
  <si>
    <t>Chrysler Avenger 2007-2014</t>
  </si>
  <si>
    <t>Chrysler Caliber 2007-2009</t>
  </si>
  <si>
    <t>Chrysler Caliber 2007-2012</t>
  </si>
  <si>
    <t>Chrysler Caravan 1996-2000</t>
  </si>
  <si>
    <t>Chrysler Caravan 2001-2007</t>
  </si>
  <si>
    <t>Chrysler Cirrus 2007-2014</t>
  </si>
  <si>
    <t>Chrysler Cirrus-Stratus-Coupe 1995-2000</t>
  </si>
  <si>
    <t>Chrysler Grand Caravan 1996-2000</t>
  </si>
  <si>
    <t>Chrysler Grand Caravan 2001-2007</t>
  </si>
  <si>
    <t>Chrysler Pacifica 2004-2008</t>
  </si>
  <si>
    <t>Chrysler Patriot-Compass 2007-2009</t>
  </si>
  <si>
    <t>Chrysler Ram 1500 3850 # 1998-2002</t>
  </si>
  <si>
    <t>CL0038</t>
  </si>
  <si>
    <t>52037712</t>
  </si>
  <si>
    <t>DODGE, CHRYSLER Ram 1500 4X4 3850 # (Solid Axle) (Eje Solido) 1998-2002 // DODGE, CHRYSLER Ram 2500 4X4 3850 # (Solid Axle) (Eje Solido) 1998-1999 // DODGE, CHRYSLER Ram 2500 4X4 4500 # (Solid Axle) (Eje Solido) 1994-1999 // DODGE, CHRYSLER Ram 2500 4X4, 2500 Hd 4X4 (Solid Axle) (Eje Solido) 2000-2002 // DODGE, CHRYSLER Ram 3500 4X2 (Solid Axle) (Eje Solido) 1998-2002 // DODGE, CHRYSLER Ram 3500 4X4 (Solid Axle) (Eje Solido) 1994-2002</t>
  </si>
  <si>
    <t>Chrysler Ram 2500 2500 Hd 2000-2002</t>
  </si>
  <si>
    <t>Chrysler Ram 2500 3850 # 1998-1999</t>
  </si>
  <si>
    <t>Chrysler Ram 2500 4500 # 1994-1999</t>
  </si>
  <si>
    <t>Chrysler Ram 3500 1994-2002</t>
  </si>
  <si>
    <t>Chrysler Ram 3500 1998-2002</t>
  </si>
  <si>
    <t>Chrysler Sebring Coupe 1995-2000</t>
  </si>
  <si>
    <t>Chrysler Talon 1995-1998</t>
  </si>
  <si>
    <t>Chrysler Town &amp; Country 1996-2000</t>
  </si>
  <si>
    <t>Chrysler Town &amp; Country 2001-2007</t>
  </si>
  <si>
    <t>Chrysler Verna 2004-2006</t>
  </si>
  <si>
    <t>DODGE, CHRYSLER Verna 2004-2006 // HYUNDAI Accent (1) 2000-2006</t>
  </si>
  <si>
    <t>CE0307</t>
  </si>
  <si>
    <t>1106004</t>
  </si>
  <si>
    <t>GV0022</t>
  </si>
  <si>
    <t>1406089</t>
  </si>
  <si>
    <t>DODGE, CHRYSLER Verna 2004-2006</t>
  </si>
  <si>
    <t>Chrysler Voyager 1996-2000</t>
  </si>
  <si>
    <t>Chrysler Voyager 2001-2007</t>
  </si>
  <si>
    <t>Ford Motor Escape - Mariner 2013-2019</t>
  </si>
  <si>
    <t>CL0061</t>
  </si>
  <si>
    <t>2108060</t>
  </si>
  <si>
    <t>FORD, MERCURY Escape - Mariner 2013-2019 // FORD, MERCURY Focus Norte America 2012-2019 // LINCOLN Mkc 2015-2019</t>
  </si>
  <si>
    <t>Ford Motor Expedition 2007-2019</t>
  </si>
  <si>
    <t>CB0283</t>
  </si>
  <si>
    <t>1008017</t>
  </si>
  <si>
    <t>FORD, MERCURY Expedition 4X2 2007-2019 [delantera y trasera] // FORD, MERCURY Expedition 4X4 2007-2019 [delantera y trasera] // FORD, MERCURY F150 4X2 Usa 2009-2013 // FORD, MERCURY F150 4X4 2009-2013 // LINCOLN Mark Lt 2010-2014 // LINCOLN Navigator 4X2 2007-2017 // LINCOLN Navigator 4X4 2007-2017</t>
  </si>
  <si>
    <t>Ford Motor Explorer 1995-1997</t>
  </si>
  <si>
    <t>CE0094</t>
  </si>
  <si>
    <t>ES-3302-RL</t>
  </si>
  <si>
    <t>FORD, MERCURY Explorer 4X2 1995-1997 // FORD, MERCURY Explorer 4X4 1995-1997 // FORD, MERCURY Explorer Sport 4X2 1995-1997 // FORD, MERCURY Explorer Sport 4X4 1995-1997 // FORD, MERCURY Mountaineer 1995-1997</t>
  </si>
  <si>
    <t>Ford Motor Explorer Sport 1995-1997</t>
  </si>
  <si>
    <t>Ford Motor F150 2009-2013</t>
  </si>
  <si>
    <t>Ford Motor F150 Usa 2009-2013</t>
  </si>
  <si>
    <t>Ford Motor Focus Norte America 2012-2019</t>
  </si>
  <si>
    <t>FORD, MERCURY Focus Norte America 2012-2019</t>
  </si>
  <si>
    <t>CL0069</t>
  </si>
  <si>
    <t>2108077</t>
  </si>
  <si>
    <t>Ford Motor Mark Lt 2010-2014</t>
  </si>
  <si>
    <t>Ford Motor Mkc 2015-2019</t>
  </si>
  <si>
    <t>Ford Motor Mountaineer 1995-1997</t>
  </si>
  <si>
    <t>Ford Motor Navigator 2007-2017</t>
  </si>
  <si>
    <t>Ford Motor Villager 1993-2002</t>
  </si>
  <si>
    <t>CB0339</t>
  </si>
  <si>
    <t>K-8647</t>
  </si>
  <si>
    <t>FORD, MERCURY Villager 1993-2002 // NISSAN Quest 1993-2003</t>
  </si>
  <si>
    <t>CE0593</t>
  </si>
  <si>
    <t>ES-3200-RL</t>
  </si>
  <si>
    <t>General Motors 88 Y 98 1977-1992</t>
  </si>
  <si>
    <t>General Motors Avalanche 1500 2000-2016</t>
  </si>
  <si>
    <t>General Motors Beat 2018-2020</t>
  </si>
  <si>
    <t>General Motors Belair 1977-1985</t>
  </si>
  <si>
    <t>General Motors Biscayne 1977-1985</t>
  </si>
  <si>
    <t>General Motors Camaro - Z28 1970-2002</t>
  </si>
  <si>
    <t>General Motors Caprice 1977-1996</t>
  </si>
  <si>
    <t>General Motors Chevelle 1973-1983</t>
  </si>
  <si>
    <t>General Motors Chevy 1975-1979</t>
  </si>
  <si>
    <t>General Motors Cheyenne 2000-2018</t>
  </si>
  <si>
    <t>General Motors City Express 2015-2018</t>
  </si>
  <si>
    <t>General Motors Cobalt 2007-2010</t>
  </si>
  <si>
    <t>CB0069</t>
  </si>
  <si>
    <t>1003007</t>
  </si>
  <si>
    <t>CHEVROLET, GMC Cobalt 2007-2010 // CHEVROLET, GMC Hhr 2006-2011 // PONTIAC G4 2005-2006 // PONTIAC G5 2007-2009 // SATURN Ion 2003-2007</t>
  </si>
  <si>
    <t>General Motors Escalade 2002-2020</t>
  </si>
  <si>
    <t>General Motors Express Van 1500 2003-2014</t>
  </si>
  <si>
    <t>General Motors Express Van 2500 7300 # 2003-2023</t>
  </si>
  <si>
    <t>General Motors G3 2006-2009</t>
  </si>
  <si>
    <t>General Motors G4 2005-2006</t>
  </si>
  <si>
    <t>General Motors G5 2007-2009</t>
  </si>
  <si>
    <t>General Motors Gto 1973</t>
  </si>
  <si>
    <t>General Motors Hhr 2006-2011</t>
  </si>
  <si>
    <t>General Motors Impala 1977-1985</t>
  </si>
  <si>
    <t>General Motors Impala Ss 1986-1996</t>
  </si>
  <si>
    <t>General Motors Ion 2003-2007</t>
  </si>
  <si>
    <t>General Motors Jimmy 1995-2004</t>
  </si>
  <si>
    <t>General Motors Malibu 1973-1983</t>
  </si>
  <si>
    <t>General Motors Matiz 2004-2009</t>
  </si>
  <si>
    <t>General Motors Montecarlo 1973-1988</t>
  </si>
  <si>
    <t>General Motors Nova 1975-1979</t>
  </si>
  <si>
    <t>General Motors Prizm 1993-1994</t>
  </si>
  <si>
    <t>CR0607</t>
  </si>
  <si>
    <t>EV-302</t>
  </si>
  <si>
    <t>GEO Prizm 1993-1994 [standard] // TOYOTA Corolla 1993-2002 [standard]</t>
  </si>
  <si>
    <t>General Motors Prizm 1993-1995</t>
  </si>
  <si>
    <t>CB0388</t>
  </si>
  <si>
    <t>K-9742</t>
  </si>
  <si>
    <t>GEO Prizm 1993-1995 // TOYOTA Corolla 1993-1995</t>
  </si>
  <si>
    <t>General Motors S10 S10 Blazer Jimmy Sonoma Bravada 1982-2004</t>
  </si>
  <si>
    <t>General Motors S10 S10 Blazer Jimmy Sonoma Bravada 1994-2004</t>
  </si>
  <si>
    <t>General Motors Savanna 1500 2003-2014</t>
  </si>
  <si>
    <t>General Motors Savanna 2500 7300 # 2003-2014</t>
  </si>
  <si>
    <t>General Motors Sierra 1500 2007-2019</t>
  </si>
  <si>
    <t>General Motors Sierra 2500 2000-2006</t>
  </si>
  <si>
    <t>General Motors Spark 2016-2020</t>
  </si>
  <si>
    <t>CB0167</t>
  </si>
  <si>
    <t>1003022</t>
  </si>
  <si>
    <t>CHEVROLET, GMC Spark Ii 2016-2020</t>
  </si>
  <si>
    <t>CR0122</t>
  </si>
  <si>
    <t>1303044</t>
  </si>
  <si>
    <t>General Motors Suburban 1500 2000-2020</t>
  </si>
  <si>
    <t>General Motors Tahoe 2000-2020</t>
  </si>
  <si>
    <t>General Motors Tracker 1989-1997</t>
  </si>
  <si>
    <t>General Motors Trans Am 1970-2002</t>
  </si>
  <si>
    <t>General Motors Yukon 1500 2000-2020</t>
  </si>
  <si>
    <t>Honda Accord 1998-2002</t>
  </si>
  <si>
    <t>CR0155</t>
  </si>
  <si>
    <t>1309003</t>
  </si>
  <si>
    <t>HONDA Accord 1998-2002 [6 cil]</t>
  </si>
  <si>
    <t>Honda Pilot 2003-2008</t>
  </si>
  <si>
    <t>Hyundai Accent 2000-2006</t>
  </si>
  <si>
    <t>Hyundai Accent 2006-2010</t>
  </si>
  <si>
    <t>Isuzu Hombre 1996-2002</t>
  </si>
  <si>
    <t>Mazda Mpv Minivan 2000-2006</t>
  </si>
  <si>
    <t>CL0393</t>
  </si>
  <si>
    <t>2115013</t>
  </si>
  <si>
    <t>MAZDA Mpv Minivan 4X2 2000-2006 [verificar con muestra] // MITSUBISHI Asx 2013-2015 // MITSUBISHI Eclipse Cross 2019-2020 // MITSUBISHI Lancer 2008-2017 // MITSUBISHI Outlander 2007-2020</t>
  </si>
  <si>
    <t>Mitsubishi Asx 2013-2015</t>
  </si>
  <si>
    <t>Mitsubishi Eclipse 1995-1999</t>
  </si>
  <si>
    <t>Mitsubishi Eclipse Cross 2019-2020</t>
  </si>
  <si>
    <t>Mitsubishi Galant 1994-1998</t>
  </si>
  <si>
    <t>Mitsubishi L200 2008-2023</t>
  </si>
  <si>
    <t>CE0423R</t>
  </si>
  <si>
    <t>1115002</t>
  </si>
  <si>
    <t>MITSUBISHI L200 2008-2023 // MITSUBISHI Montero 2002-2007</t>
  </si>
  <si>
    <t>Mitsubishi Lancer 2003-2007</t>
  </si>
  <si>
    <t>MITSUBISHI Lancer 2003-2007</t>
  </si>
  <si>
    <t>CR0372</t>
  </si>
  <si>
    <t>1315006</t>
  </si>
  <si>
    <t>Mitsubishi Lancer 2008-2016</t>
  </si>
  <si>
    <t>Mitsubishi Lancer 2008-2017</t>
  </si>
  <si>
    <t>Mitsubishi Montero 1992-2001</t>
  </si>
  <si>
    <t>CE0400</t>
  </si>
  <si>
    <t>ES-3386-RL</t>
  </si>
  <si>
    <t>MITSUBISHI Montero 1992-2001 [exterior] // MITSUBISHI Montero Sport 1992-2007</t>
  </si>
  <si>
    <t>Mitsubishi Montero 2002-2007</t>
  </si>
  <si>
    <t>Mitsubishi Montero 2002-2017</t>
  </si>
  <si>
    <t>CL0378</t>
  </si>
  <si>
    <t>2115022</t>
  </si>
  <si>
    <t>MITSUBISHI Montero 2002-2017</t>
  </si>
  <si>
    <t>CL0379</t>
  </si>
  <si>
    <t>2115021</t>
  </si>
  <si>
    <t>Mitsubishi Montero Sport 1992-2007</t>
  </si>
  <si>
    <t>Mitsubishi Outlander 2003-2006</t>
  </si>
  <si>
    <t>MITSUBISHI Outlander 2003-2006</t>
  </si>
  <si>
    <t>CL0264</t>
  </si>
  <si>
    <t>2115005</t>
  </si>
  <si>
    <t>Mitsubishi Outlander 2007-2015</t>
  </si>
  <si>
    <t>Mitsubishi Outlander 2007-2020</t>
  </si>
  <si>
    <t>Mitsubishi Outlander 2007-2022</t>
  </si>
  <si>
    <t>Nissan 240 Sx 1989-1998</t>
  </si>
  <si>
    <t>Nissan Almera 2001-2005</t>
  </si>
  <si>
    <t>Nissan Altima 1998-2001</t>
  </si>
  <si>
    <t>CR0464</t>
  </si>
  <si>
    <t>48521-09E00</t>
  </si>
  <si>
    <t>NISSAN Altima 1998-2001</t>
  </si>
  <si>
    <t>Nissan Cube 2009-2014</t>
  </si>
  <si>
    <t>Nissan D21 1986-1994</t>
  </si>
  <si>
    <t>Nissan D21 1987-1993</t>
  </si>
  <si>
    <t>CE0575</t>
  </si>
  <si>
    <t>ES-3051-L</t>
  </si>
  <si>
    <t>NISSAN D21 4X4 1987-1993 [interior] // NISSAN Pathfinder 4X2 1987-1992 [interior] // NISSAN Pathfinder 4X4 (Wd21) 1987-1993 [interior] // NISSAN Pickup 4X4 1987-1993 [interior]</t>
  </si>
  <si>
    <t>Nissan Frontier Y Frontier V6 1998-2004</t>
  </si>
  <si>
    <t>Nissan Juke 2012-2017</t>
  </si>
  <si>
    <t>CL0462</t>
  </si>
  <si>
    <t>2116043</t>
  </si>
  <si>
    <t>NISSAN Juke 2012-2017 // NISSAN Leaf 2012-2017 // NISSAN Sentra 2013-2019</t>
  </si>
  <si>
    <t>Nissan Kicks 2017-2024</t>
  </si>
  <si>
    <t>Nissan Leaf 2012-2017</t>
  </si>
  <si>
    <t>Nissan Lucino 1996-2000</t>
  </si>
  <si>
    <t>Nissan March 2011-2025</t>
  </si>
  <si>
    <t>Nissan Maxima 2000-2003</t>
  </si>
  <si>
    <t>CB0326</t>
  </si>
  <si>
    <t>1016002</t>
  </si>
  <si>
    <t>NISSAN Maxima 2000-2003</t>
  </si>
  <si>
    <t>Nissan Micra 2005-2008</t>
  </si>
  <si>
    <t>Nissan Np300 Pickup 2009-2014</t>
  </si>
  <si>
    <t>Nissan Nx 1987-1990</t>
  </si>
  <si>
    <t>Nissan Nx 1991-1994</t>
  </si>
  <si>
    <t>CR0456</t>
  </si>
  <si>
    <t>EV-289</t>
  </si>
  <si>
    <t>NISSAN Nx 1991-1994 [1.6 l] // NISSAN Sentra Usa 1988-1990 [hidraulica] // NISSAN Sentra Usa 1991-1995 [hid 1.6 l]</t>
  </si>
  <si>
    <t>Nissan Pathfinder 1987-1992</t>
  </si>
  <si>
    <t>Nissan Pathfinder 1987-1993</t>
  </si>
  <si>
    <t>Nissan Pickup 1987-1993</t>
  </si>
  <si>
    <t>Nissan Pickup 1994-2008</t>
  </si>
  <si>
    <t>Nissan Pulsar 1987-1990</t>
  </si>
  <si>
    <t>Nissan Quest 1993-2003</t>
  </si>
  <si>
    <t>Nissan Quest 2004-2009</t>
  </si>
  <si>
    <t>CR0480</t>
  </si>
  <si>
    <t>1316009</t>
  </si>
  <si>
    <t>NISSAN Quest 2004-2009</t>
  </si>
  <si>
    <t>Nissan Sentra 2013-2019</t>
  </si>
  <si>
    <t>Nissan Sentra Usa 1987-1990</t>
  </si>
  <si>
    <t>Nissan Sentra Usa 1988-1990</t>
  </si>
  <si>
    <t>Nissan Sentra Usa 1991-1995</t>
  </si>
  <si>
    <t>Nissan Stanza Wagon 1986-1988</t>
  </si>
  <si>
    <t>Nissan Tsubame 1992-2004</t>
  </si>
  <si>
    <t>Nissan Urvan 2000-2001</t>
  </si>
  <si>
    <t>Nissan V-Drive 2020-2025</t>
  </si>
  <si>
    <t>Nissan Xterra 1998-2004</t>
  </si>
  <si>
    <t>Renault Clio 2002-2010</t>
  </si>
  <si>
    <t>Renault Clio Europa 2007-2009</t>
  </si>
  <si>
    <t>Renault Clio Sport 2002-2006</t>
  </si>
  <si>
    <t>Renault Kangoo 2004-2019</t>
  </si>
  <si>
    <t>Renault Megane 2001-2003</t>
  </si>
  <si>
    <t>Renault Scala 2010-2013</t>
  </si>
  <si>
    <t>Renault Scenic 2001-2004</t>
  </si>
  <si>
    <t>SEAT Arona 2018-2022</t>
  </si>
  <si>
    <t>SEAT Cordoba 2001-2002</t>
  </si>
  <si>
    <t>SEAT Cordoba 2003-2009</t>
  </si>
  <si>
    <t>SEAT Ibiza 2001-2002</t>
  </si>
  <si>
    <t>SEAT Ibiza 2003-2017</t>
  </si>
  <si>
    <t>SEAT Ibiza 2003-2022</t>
  </si>
  <si>
    <t>SEAT Ibiza 2009-2017</t>
  </si>
  <si>
    <t>SEAT Ibiza 2009-2018</t>
  </si>
  <si>
    <t>SEAT Leon 2001-2005</t>
  </si>
  <si>
    <t>SEAT Toledo 2001-2005</t>
  </si>
  <si>
    <t>SEAT Toledo 2013-2019</t>
  </si>
  <si>
    <t>Suzuki Jimny 1983-1988</t>
  </si>
  <si>
    <t>Suzuki Sidekick 1989-1997</t>
  </si>
  <si>
    <t>Toyota Corolla 1993-1995</t>
  </si>
  <si>
    <t>Toyota Corolla 1993-2002</t>
  </si>
  <si>
    <t>Toyota Hiace 2004-2019</t>
  </si>
  <si>
    <t>TOYOTA Hiace 2004-2019</t>
  </si>
  <si>
    <t>GV0455</t>
  </si>
  <si>
    <t>1425022</t>
  </si>
  <si>
    <t>Toyota T100 1993-1994</t>
  </si>
  <si>
    <t>CE0741</t>
  </si>
  <si>
    <t>ES-2987</t>
  </si>
  <si>
    <t>TOYOTA T100 1993-1994 // TOYOTA Van 4X4 1989</t>
  </si>
  <si>
    <t>Toyota Van 1989</t>
  </si>
  <si>
    <t>Volkswagen Amarok 2011-2020</t>
  </si>
  <si>
    <t>CB0450</t>
  </si>
  <si>
    <t>1026012</t>
  </si>
  <si>
    <t>VOLKSWAGEN Amarok 2011-2020</t>
  </si>
  <si>
    <t>CB0459</t>
  </si>
  <si>
    <t>1026013</t>
  </si>
  <si>
    <t>Volkswagen Beetle 1998-2011</t>
  </si>
  <si>
    <t>Volkswagen Crossfox 2007-2017</t>
  </si>
  <si>
    <t>Volkswagen Derby 1995-2001</t>
  </si>
  <si>
    <t>Volkswagen Golf 1987-1992</t>
  </si>
  <si>
    <t>Volkswagen Golf 1993-1999</t>
  </si>
  <si>
    <t>Volkswagen Golf 1998-2007</t>
  </si>
  <si>
    <t>Volkswagen Lupo 2005-2009</t>
  </si>
  <si>
    <t>Volkswagen Nivus 2022-2023</t>
  </si>
  <si>
    <t>Volkswagen Passat 1989-1993</t>
  </si>
  <si>
    <t>Volkswagen Polo 2003-2007</t>
  </si>
  <si>
    <t>Volkswagen Polo 2013-2022</t>
  </si>
  <si>
    <t>Volkswagen Saveiro 2010-2022</t>
  </si>
  <si>
    <t>Volkswagen Sport Van 2003-2007</t>
  </si>
  <si>
    <t>Volkswagen T-Cross 2020-2022</t>
  </si>
  <si>
    <t>Volkswagen Up 2016-2018</t>
  </si>
  <si>
    <t>Volkswagen Virtus 2020-2022</t>
  </si>
  <si>
    <t>Sin aplicación especificada</t>
  </si>
  <si>
    <t>PRO002</t>
  </si>
  <si>
    <t>material promocion_GUANTES</t>
  </si>
  <si>
    <t>PRO008</t>
  </si>
  <si>
    <t>material promocion_POLO ROJA</t>
  </si>
  <si>
    <t>PRO009</t>
  </si>
  <si>
    <t>material promocion_CATALOGO REFATRIX</t>
  </si>
  <si>
    <t>PRO010</t>
  </si>
  <si>
    <t>material promocion_CATALOGO REFATRIX CTR</t>
  </si>
  <si>
    <t>PRO011</t>
  </si>
  <si>
    <t>material promocion_Calcas Refatrix</t>
  </si>
  <si>
    <t>PRO012</t>
  </si>
  <si>
    <t>Folletos Rojos CTR_Volante</t>
  </si>
  <si>
    <t>Subtotal (sin IVA)</t>
  </si>
  <si>
    <t>IVA 16%</t>
  </si>
  <si>
    <t>Total (con IVA)</t>
  </si>
  <si>
    <t>Total de todas las líneas (incluye repetidos)</t>
  </si>
  <si>
    <t>Solo hasta el 30 de septiembre de 2026</t>
    <phoneticPr fontId="36" type="noConversion"/>
  </si>
  <si>
    <t>no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</si>
</sst>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39" x14ac:knownFonts="1">
    <font>
      <sz val="11"/>
      <name val="Calibri"/>
    </font>
    <font>
      <b/>
      <sz val="10"/>
      <color rgb="FF1C1B19"/>
      <name val="Calibri"/>
    </font>
    <font>
      <b/>
      <sz val="11"/>
      <color rgb="FF1C1B19"/>
      <name val="Calibri"/>
    </font>
    <font>
      <b/>
      <sz val="12"/>
      <color rgb="FFD81E25"/>
      <name val="Calibri"/>
    </font>
    <font>
      <i/>
      <sz val="9"/>
      <color rgb="FF6F6A60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1C1B19"/>
      <name val="Calibri"/>
    </font>
    <font>
      <b/>
      <sz val="10"/>
      <color rgb="FFD81E25"/>
      <name val="Calibri"/>
    </font>
    <font>
      <b/>
      <sz val="10"/>
      <color rgb="FFC00000"/>
      <name val="Calibri"/>
    </font>
    <font>
      <b/>
      <sz val="9.5"/>
      <color rgb="FFC00000"/>
      <name val="Calibri"/>
    </font>
    <font>
      <sz val="9.5"/>
      <color rgb="FF1C1B19"/>
      <name val="Calibri"/>
    </font>
    <font>
      <sz val="10"/>
      <color rgb="FF0F6E56"/>
      <name val="Calibri"/>
    </font>
    <font>
      <b/>
      <sz val="10"/>
      <color rgb="FF1C1B19"/>
      <name val="Calibri"/>
    </font>
    <font>
      <sz val="10"/>
      <color rgb="FF6F6A60"/>
      <name val="Calibri"/>
    </font>
    <font>
      <b/>
      <sz val="10"/>
      <color rgb="FF0F6E56"/>
      <name val="Calibri"/>
    </font>
    <font>
      <b/>
      <sz val="10"/>
      <color rgb="FF1C1B19"/>
      <name val="Calibri"/>
    </font>
    <font>
      <sz val="9"/>
      <color rgb="FF6F6A60"/>
      <name val="Calibri"/>
    </font>
    <font>
      <b/>
      <sz val="10"/>
      <color rgb="FF1C1B19"/>
      <name val="Calibri"/>
    </font>
    <font>
      <b/>
      <sz val="10"/>
      <color rgb="FFD81E25"/>
      <name val="Calibri"/>
    </font>
    <font>
      <b/>
      <sz val="10"/>
      <color rgb="FFC00000"/>
      <name val="Calibri"/>
    </font>
    <font>
      <b/>
      <sz val="9.5"/>
      <color rgb="FFC00000"/>
      <name val="Calibri"/>
    </font>
    <font>
      <sz val="9.5"/>
      <color rgb="FF1C1B19"/>
      <name val="Calibri"/>
    </font>
    <font>
      <sz val="10"/>
      <color rgb="FF0F6E56"/>
      <name val="Calibri"/>
    </font>
    <font>
      <b/>
      <sz val="10"/>
      <color rgb="FF1C1B19"/>
      <name val="Calibri"/>
    </font>
    <font>
      <sz val="10"/>
      <color rgb="FF6F6A60"/>
      <name val="Calibri"/>
    </font>
    <font>
      <b/>
      <sz val="10"/>
      <color rgb="FF0F6E56"/>
      <name val="Calibri"/>
    </font>
    <font>
      <b/>
      <sz val="10"/>
      <color rgb="FF1C1B19"/>
      <name val="Calibri"/>
    </font>
    <font>
      <sz val="9"/>
      <color rgb="FF6F6A60"/>
      <name val="Calibri"/>
    </font>
    <font>
      <sz val="10"/>
      <color rgb="FF0F6E56"/>
      <name val="Calibri"/>
    </font>
    <font>
      <b/>
      <sz val="10"/>
      <color rgb="FF1C1B19"/>
      <name val="Calibri"/>
    </font>
    <font>
      <b/>
      <sz val="10"/>
      <color rgb="FF1C1B19"/>
      <name val="Calibri"/>
    </font>
    <font>
      <b/>
      <sz val="11"/>
      <color rgb="FFD81E25"/>
      <name val="Calibri"/>
    </font>
    <font>
      <b/>
      <sz val="11"/>
      <color rgb="FFD81E25"/>
      <name val="Calibri"/>
    </font>
    <font>
      <i/>
      <sz val="10"/>
      <color rgb="FF6F6A60"/>
      <name val="Calibri"/>
    </font>
    <font>
      <i/>
      <sz val="10"/>
      <color rgb="FF6F6A60"/>
      <name val="Calibri"/>
    </font>
    <font>
      <sz val="8"/>
      <name val="BatangChe"/>
      <family val="3"/>
      <charset val="129"/>
    </font>
    <font>
      <b/>
      <sz val="10"/>
      <color rgb="FF1C1B19"/>
      <name val="Calibri"/>
      <family val="2"/>
    </font>
    <font>
      <b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81E25"/>
      </patternFill>
    </fill>
    <fill>
      <patternFill patternType="solid">
        <fgColor rgb="FFD81E25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D6E4F7"/>
      </patternFill>
    </fill>
    <fill>
      <patternFill patternType="solid">
        <fgColor rgb="FFE4F0EB"/>
      </patternFill>
    </fill>
    <fill>
      <patternFill patternType="solid">
        <fgColor rgb="FFFFF2CC"/>
      </patternFill>
    </fill>
    <fill>
      <patternFill patternType="solid">
        <fgColor rgb="FFE4F0EB"/>
      </patternFill>
    </fill>
    <fill>
      <patternFill patternType="solid">
        <fgColor rgb="FFFFF2CC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 style="thin">
        <color rgb="FFE3D6D6"/>
      </left>
      <right style="thin">
        <color rgb="FFE3D6D6"/>
      </right>
      <top style="thin">
        <color rgb="FFE3D6D6"/>
      </top>
      <bottom style="thin">
        <color rgb="FFE3D6D6"/>
      </bottom>
      <diagonal/>
    </border>
    <border>
      <left/>
      <right style="thin">
        <color rgb="FFE3D6D6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2" fillId="0" borderId="0" xfId="0" applyFont="1"/>
    <xf numFmtId="9" fontId="3" fillId="2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3" fontId="8" fillId="6" borderId="6" xfId="0" applyNumberFormat="1" applyFont="1" applyFill="1" applyBorder="1" applyAlignment="1">
      <alignment horizontal="right" vertical="center"/>
    </xf>
    <xf numFmtId="0" fontId="9" fillId="7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vertical="center"/>
    </xf>
    <xf numFmtId="0" fontId="11" fillId="9" borderId="9" xfId="0" applyFont="1" applyFill="1" applyBorder="1" applyAlignment="1">
      <alignment vertical="center"/>
    </xf>
    <xf numFmtId="3" fontId="12" fillId="10" borderId="10" xfId="0" applyNumberFormat="1" applyFont="1" applyFill="1" applyBorder="1" applyAlignment="1">
      <alignment horizontal="right" vertical="center"/>
    </xf>
    <xf numFmtId="3" fontId="13" fillId="11" borderId="11" xfId="0" applyNumberFormat="1" applyFont="1" applyFill="1" applyBorder="1" applyAlignment="1">
      <alignment horizontal="center" vertical="center"/>
    </xf>
    <xf numFmtId="176" fontId="14" fillId="12" borderId="12" xfId="0" applyNumberFormat="1" applyFont="1" applyFill="1" applyBorder="1" applyAlignment="1">
      <alignment horizontal="right" vertical="center"/>
    </xf>
    <xf numFmtId="176" fontId="15" fillId="13" borderId="13" xfId="0" applyNumberFormat="1" applyFont="1" applyFill="1" applyBorder="1" applyAlignment="1">
      <alignment horizontal="right" vertical="center"/>
    </xf>
    <xf numFmtId="176" fontId="16" fillId="14" borderId="14" xfId="0" applyNumberFormat="1" applyFont="1" applyFill="1" applyBorder="1" applyAlignment="1">
      <alignment horizontal="right" vertical="center"/>
    </xf>
    <xf numFmtId="1" fontId="17" fillId="15" borderId="15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 wrapText="1"/>
    </xf>
    <xf numFmtId="3" fontId="19" fillId="0" borderId="17" xfId="0" applyNumberFormat="1" applyFont="1" applyBorder="1" applyAlignment="1">
      <alignment horizontal="right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176" fontId="25" fillId="0" borderId="23" xfId="0" applyNumberFormat="1" applyFont="1" applyBorder="1" applyAlignment="1">
      <alignment horizontal="right" vertical="center"/>
    </xf>
    <xf numFmtId="176" fontId="26" fillId="0" borderId="24" xfId="0" applyNumberFormat="1" applyFont="1" applyBorder="1" applyAlignment="1">
      <alignment horizontal="right" vertical="center"/>
    </xf>
    <xf numFmtId="176" fontId="27" fillId="0" borderId="25" xfId="0" applyNumberFormat="1" applyFont="1" applyBorder="1" applyAlignment="1">
      <alignment horizontal="right" vertical="center"/>
    </xf>
    <xf numFmtId="1" fontId="28" fillId="0" borderId="26" xfId="0" applyNumberFormat="1" applyFont="1" applyBorder="1" applyAlignment="1">
      <alignment horizontal="center" vertical="center"/>
    </xf>
    <xf numFmtId="3" fontId="29" fillId="18" borderId="27" xfId="0" applyNumberFormat="1" applyFont="1" applyFill="1" applyBorder="1" applyAlignment="1">
      <alignment horizontal="right" vertical="center"/>
    </xf>
    <xf numFmtId="3" fontId="30" fillId="19" borderId="28" xfId="0" applyNumberFormat="1" applyFont="1" applyFill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176" fontId="33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176" fontId="35" fillId="0" borderId="0" xfId="0" applyNumberFormat="1" applyFont="1" applyAlignment="1">
      <alignment horizontal="right" vertical="center"/>
    </xf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18" fillId="0" borderId="5" xfId="0" applyFont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3" fontId="19" fillId="0" borderId="6" xfId="0" applyNumberFormat="1" applyFont="1" applyBorder="1" applyAlignment="1">
      <alignment horizontal="right" vertical="center"/>
    </xf>
    <xf numFmtId="3" fontId="8" fillId="6" borderId="17" xfId="0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10" fillId="8" borderId="19" xfId="0" applyFont="1" applyFill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10" fillId="8" borderId="20" xfId="0" applyFont="1" applyFill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11" fillId="9" borderId="20" xfId="0" applyFont="1" applyFill="1" applyBorder="1" applyAlignment="1">
      <alignment vertical="center"/>
    </xf>
    <xf numFmtId="3" fontId="29" fillId="18" borderId="10" xfId="0" applyNumberFormat="1" applyFont="1" applyFill="1" applyBorder="1" applyAlignment="1">
      <alignment horizontal="right" vertical="center"/>
    </xf>
    <xf numFmtId="3" fontId="29" fillId="18" borderId="31" xfId="0" applyNumberFormat="1" applyFont="1" applyFill="1" applyBorder="1" applyAlignment="1">
      <alignment horizontal="right" vertical="center"/>
    </xf>
    <xf numFmtId="3" fontId="12" fillId="10" borderId="27" xfId="0" applyNumberFormat="1" applyFont="1" applyFill="1" applyBorder="1" applyAlignment="1">
      <alignment horizontal="right" vertical="center"/>
    </xf>
    <xf numFmtId="3" fontId="29" fillId="18" borderId="30" xfId="0" applyNumberFormat="1" applyFont="1" applyFill="1" applyBorder="1" applyAlignment="1">
      <alignment horizontal="right" vertical="center"/>
    </xf>
    <xf numFmtId="3" fontId="30" fillId="19" borderId="11" xfId="0" applyNumberFormat="1" applyFont="1" applyFill="1" applyBorder="1" applyAlignment="1">
      <alignment horizontal="center" vertical="center"/>
    </xf>
    <xf numFmtId="3" fontId="13" fillId="11" borderId="28" xfId="0" applyNumberFormat="1" applyFont="1" applyFill="1" applyBorder="1" applyAlignment="1">
      <alignment horizontal="center" vertical="center"/>
    </xf>
    <xf numFmtId="176" fontId="25" fillId="0" borderId="12" xfId="0" applyNumberFormat="1" applyFont="1" applyBorder="1" applyAlignment="1">
      <alignment horizontal="right" vertical="center"/>
    </xf>
    <xf numFmtId="176" fontId="14" fillId="12" borderId="23" xfId="0" applyNumberFormat="1" applyFont="1" applyFill="1" applyBorder="1" applyAlignment="1">
      <alignment horizontal="right" vertical="center"/>
    </xf>
    <xf numFmtId="176" fontId="26" fillId="0" borderId="13" xfId="0" applyNumberFormat="1" applyFont="1" applyBorder="1" applyAlignment="1">
      <alignment horizontal="right" vertical="center"/>
    </xf>
    <xf numFmtId="176" fontId="15" fillId="13" borderId="24" xfId="0" applyNumberFormat="1" applyFont="1" applyFill="1" applyBorder="1" applyAlignment="1">
      <alignment horizontal="right" vertical="center"/>
    </xf>
    <xf numFmtId="176" fontId="27" fillId="0" borderId="14" xfId="0" applyNumberFormat="1" applyFont="1" applyBorder="1" applyAlignment="1">
      <alignment horizontal="right" vertical="center"/>
    </xf>
    <xf numFmtId="176" fontId="16" fillId="14" borderId="25" xfId="0" applyNumberFormat="1" applyFont="1" applyFill="1" applyBorder="1" applyAlignment="1">
      <alignment horizontal="right" vertical="center"/>
    </xf>
    <xf numFmtId="3" fontId="12" fillId="10" borderId="21" xfId="0" applyNumberFormat="1" applyFont="1" applyFill="1" applyBorder="1" applyAlignment="1">
      <alignment horizontal="right" vertical="center"/>
    </xf>
    <xf numFmtId="3" fontId="23" fillId="16" borderId="10" xfId="0" applyNumberFormat="1" applyFont="1" applyFill="1" applyBorder="1" applyAlignment="1">
      <alignment horizontal="right" vertical="center"/>
    </xf>
    <xf numFmtId="3" fontId="13" fillId="11" borderId="22" xfId="0" applyNumberFormat="1" applyFont="1" applyFill="1" applyBorder="1" applyAlignment="1">
      <alignment horizontal="center" vertical="center"/>
    </xf>
    <xf numFmtId="3" fontId="24" fillId="17" borderId="11" xfId="0" applyNumberFormat="1" applyFont="1" applyFill="1" applyBorder="1" applyAlignment="1">
      <alignment horizontal="center" vertical="center"/>
    </xf>
    <xf numFmtId="176" fontId="38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D4D61E-1922-443E-88A9-4883970EF70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06f3e3d-fe46-4d5e-b244-afe0d183a4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5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RowHeight="14.4" x14ac:dyDescent="0.3"/>
  <cols>
    <col min="1" max="1" width="8.88671875" style="35"/>
    <col min="2" max="2" width="34.77734375" customWidth="1"/>
    <col min="3" max="3" width="14.77734375" customWidth="1"/>
    <col min="4" max="4" width="13.77734375" customWidth="1"/>
    <col min="5" max="5" width="16.77734375" customWidth="1"/>
    <col min="6" max="6" width="26.77734375" customWidth="1"/>
    <col min="7" max="7" width="40.77734375" customWidth="1"/>
    <col min="8" max="8" width="11.77734375" customWidth="1"/>
    <col min="9" max="9" width="12.77734375" customWidth="1"/>
    <col min="10" max="10" width="15.77734375" customWidth="1"/>
    <col min="11" max="11" width="14.77734375" customWidth="1"/>
    <col min="12" max="12" width="15.77734375" customWidth="1"/>
    <col min="13" max="13" width="10.77734375" hidden="1" customWidth="1"/>
  </cols>
  <sheetData>
    <row r="1" spans="1:13" ht="6" customHeight="1" x14ac:dyDescent="0.3"/>
    <row r="2" spans="1:13" ht="19.95" customHeight="1" x14ac:dyDescent="0.3">
      <c r="B2" s="38" t="s">
        <v>470</v>
      </c>
      <c r="C2" s="2"/>
      <c r="D2" s="1" t="s">
        <v>0</v>
      </c>
      <c r="E2" s="1" t="s">
        <v>0</v>
      </c>
      <c r="F2" s="36" t="s">
        <v>1</v>
      </c>
      <c r="G2" s="37"/>
      <c r="H2" s="3">
        <v>0.6</v>
      </c>
      <c r="L2" s="73">
        <f>SUM(L5:L350)</f>
        <v>0</v>
      </c>
    </row>
    <row r="3" spans="1:13" ht="13.95" customHeight="1" x14ac:dyDescent="0.3">
      <c r="B3" s="34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ht="30" customHeight="1" x14ac:dyDescent="0.3">
      <c r="A4" s="4" t="s">
        <v>471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x14ac:dyDescent="0.3">
      <c r="A5" s="35">
        <v>1</v>
      </c>
      <c r="B5" s="6" t="s">
        <v>15</v>
      </c>
      <c r="C5" s="7">
        <v>1071139</v>
      </c>
      <c r="D5" s="8" t="s">
        <v>16</v>
      </c>
      <c r="E5" s="9" t="s">
        <v>17</v>
      </c>
      <c r="F5" s="10" t="s">
        <v>18</v>
      </c>
      <c r="G5" s="10" t="s">
        <v>19</v>
      </c>
      <c r="H5" s="11">
        <v>64</v>
      </c>
      <c r="I5" s="12"/>
      <c r="J5" s="13">
        <v>291</v>
      </c>
      <c r="K5" s="14">
        <f>J5*(1-$H$2)</f>
        <v>116.4</v>
      </c>
      <c r="L5" s="15">
        <f>K5*I5</f>
        <v>0</v>
      </c>
      <c r="M5" s="16">
        <v>1</v>
      </c>
    </row>
    <row r="6" spans="1:13" x14ac:dyDescent="0.3">
      <c r="A6" s="35">
        <v>4</v>
      </c>
      <c r="B6" s="6" t="s">
        <v>15</v>
      </c>
      <c r="C6" s="7">
        <v>1071139</v>
      </c>
      <c r="D6" s="8" t="s">
        <v>22</v>
      </c>
      <c r="E6" s="9" t="s">
        <v>23</v>
      </c>
      <c r="F6" s="10" t="s">
        <v>24</v>
      </c>
      <c r="G6" s="10" t="s">
        <v>25</v>
      </c>
      <c r="H6" s="11">
        <v>370</v>
      </c>
      <c r="I6" s="12"/>
      <c r="J6" s="13">
        <v>343</v>
      </c>
      <c r="K6" s="14">
        <f>J6*(1-$H$2)</f>
        <v>137.20000000000002</v>
      </c>
      <c r="L6" s="15">
        <f>K6*I6</f>
        <v>0</v>
      </c>
      <c r="M6" s="16">
        <v>1</v>
      </c>
    </row>
    <row r="7" spans="1:13" x14ac:dyDescent="0.3">
      <c r="A7" s="35">
        <v>5</v>
      </c>
      <c r="B7" s="6" t="s">
        <v>15</v>
      </c>
      <c r="C7" s="7">
        <v>1071139</v>
      </c>
      <c r="D7" s="8" t="s">
        <v>26</v>
      </c>
      <c r="E7" s="9" t="s">
        <v>27</v>
      </c>
      <c r="F7" s="10" t="s">
        <v>28</v>
      </c>
      <c r="G7" s="10" t="s">
        <v>21</v>
      </c>
      <c r="H7" s="11">
        <v>50</v>
      </c>
      <c r="I7" s="12"/>
      <c r="J7" s="13">
        <v>358</v>
      </c>
      <c r="K7" s="14">
        <f>J7*(1-$H$2)</f>
        <v>143.20000000000002</v>
      </c>
      <c r="L7" s="15">
        <f>K7*I7</f>
        <v>0</v>
      </c>
      <c r="M7" s="16">
        <v>1</v>
      </c>
    </row>
    <row r="8" spans="1:13" x14ac:dyDescent="0.3">
      <c r="A8" s="35">
        <v>6</v>
      </c>
      <c r="B8" s="6" t="s">
        <v>15</v>
      </c>
      <c r="C8" s="7">
        <v>1071139</v>
      </c>
      <c r="D8" s="8" t="s">
        <v>29</v>
      </c>
      <c r="E8" s="9" t="s">
        <v>30</v>
      </c>
      <c r="F8" s="10" t="s">
        <v>31</v>
      </c>
      <c r="G8" s="10" t="s">
        <v>21</v>
      </c>
      <c r="H8" s="11">
        <v>52</v>
      </c>
      <c r="I8" s="12"/>
      <c r="J8" s="13">
        <v>448</v>
      </c>
      <c r="K8" s="14">
        <f>J8*(1-$H$2)</f>
        <v>179.20000000000002</v>
      </c>
      <c r="L8" s="15">
        <f>K8*I8</f>
        <v>0</v>
      </c>
      <c r="M8" s="16">
        <v>1</v>
      </c>
    </row>
    <row r="9" spans="1:13" x14ac:dyDescent="0.3">
      <c r="A9" s="35">
        <v>7</v>
      </c>
      <c r="B9" s="6" t="s">
        <v>15</v>
      </c>
      <c r="C9" s="7">
        <v>1071139</v>
      </c>
      <c r="D9" s="8" t="s">
        <v>32</v>
      </c>
      <c r="E9" s="9" t="s">
        <v>33</v>
      </c>
      <c r="F9" s="10" t="s">
        <v>31</v>
      </c>
      <c r="G9" s="10" t="s">
        <v>21</v>
      </c>
      <c r="H9" s="11">
        <v>52</v>
      </c>
      <c r="I9" s="12"/>
      <c r="J9" s="13">
        <v>448</v>
      </c>
      <c r="K9" s="14">
        <f>J9*(1-$H$2)</f>
        <v>179.20000000000002</v>
      </c>
      <c r="L9" s="15">
        <f>K9*I9</f>
        <v>0</v>
      </c>
      <c r="M9" s="16">
        <v>1</v>
      </c>
    </row>
    <row r="10" spans="1:13" x14ac:dyDescent="0.3">
      <c r="A10" s="35">
        <v>9</v>
      </c>
      <c r="B10" s="39" t="s">
        <v>34</v>
      </c>
      <c r="C10" s="41">
        <v>1071139</v>
      </c>
      <c r="D10" s="43" t="s">
        <v>16</v>
      </c>
      <c r="E10" s="49" t="s">
        <v>17</v>
      </c>
      <c r="F10" s="55" t="s">
        <v>18</v>
      </c>
      <c r="G10" s="55" t="s">
        <v>19</v>
      </c>
      <c r="H10" s="70">
        <v>64</v>
      </c>
      <c r="I10" s="72"/>
      <c r="J10" s="63">
        <v>291</v>
      </c>
      <c r="K10" s="65">
        <f>J10*(1-$H$2)</f>
        <v>116.4</v>
      </c>
      <c r="L10" s="67">
        <f>K10*I10</f>
        <v>0</v>
      </c>
      <c r="M10" s="16">
        <v>1</v>
      </c>
    </row>
    <row r="11" spans="1:13" x14ac:dyDescent="0.3">
      <c r="A11" s="35">
        <v>12</v>
      </c>
      <c r="B11" s="39" t="s">
        <v>34</v>
      </c>
      <c r="C11" s="41">
        <v>1071139</v>
      </c>
      <c r="D11" s="43" t="s">
        <v>22</v>
      </c>
      <c r="E11" s="49" t="s">
        <v>23</v>
      </c>
      <c r="F11" s="55" t="s">
        <v>24</v>
      </c>
      <c r="G11" s="55" t="s">
        <v>25</v>
      </c>
      <c r="H11" s="57">
        <v>370</v>
      </c>
      <c r="I11" s="61"/>
      <c r="J11" s="63">
        <v>343</v>
      </c>
      <c r="K11" s="65">
        <f>J11*(1-$H$2)</f>
        <v>137.20000000000002</v>
      </c>
      <c r="L11" s="67">
        <f>K11*I11</f>
        <v>0</v>
      </c>
      <c r="M11" s="16">
        <v>1</v>
      </c>
    </row>
    <row r="12" spans="1:13" x14ac:dyDescent="0.3">
      <c r="A12" s="35">
        <v>20</v>
      </c>
      <c r="B12" s="6" t="s">
        <v>35</v>
      </c>
      <c r="C12" s="7">
        <v>977515</v>
      </c>
      <c r="D12" s="8" t="s">
        <v>37</v>
      </c>
      <c r="E12" s="9" t="s">
        <v>38</v>
      </c>
      <c r="F12" s="10" t="s">
        <v>39</v>
      </c>
      <c r="G12" s="10" t="s">
        <v>36</v>
      </c>
      <c r="H12" s="11">
        <v>136</v>
      </c>
      <c r="I12" s="12"/>
      <c r="J12" s="13">
        <v>269</v>
      </c>
      <c r="K12" s="14">
        <f>J12*(1-$H$2)</f>
        <v>107.60000000000001</v>
      </c>
      <c r="L12" s="15">
        <f>K12*I12</f>
        <v>0</v>
      </c>
      <c r="M12" s="16">
        <v>1</v>
      </c>
    </row>
    <row r="13" spans="1:13" x14ac:dyDescent="0.3">
      <c r="A13" s="35">
        <v>21</v>
      </c>
      <c r="B13" s="40" t="s">
        <v>35</v>
      </c>
      <c r="C13" s="42">
        <v>977515</v>
      </c>
      <c r="D13" s="46" t="s">
        <v>40</v>
      </c>
      <c r="E13" s="52" t="s">
        <v>41</v>
      </c>
      <c r="F13" s="56" t="s">
        <v>39</v>
      </c>
      <c r="G13" s="56" t="s">
        <v>36</v>
      </c>
      <c r="H13" s="69">
        <v>129</v>
      </c>
      <c r="I13" s="71"/>
      <c r="J13" s="64">
        <v>140</v>
      </c>
      <c r="K13" s="66">
        <f>J13*(1-$H$2)</f>
        <v>56</v>
      </c>
      <c r="L13" s="68">
        <f>K13*I13</f>
        <v>0</v>
      </c>
      <c r="M13" s="25">
        <v>0</v>
      </c>
    </row>
    <row r="14" spans="1:13" x14ac:dyDescent="0.3">
      <c r="A14" s="35">
        <v>26</v>
      </c>
      <c r="B14" s="39" t="s">
        <v>42</v>
      </c>
      <c r="C14" s="41">
        <v>891366</v>
      </c>
      <c r="D14" s="43" t="s">
        <v>43</v>
      </c>
      <c r="E14" s="49" t="s">
        <v>44</v>
      </c>
      <c r="F14" s="55" t="s">
        <v>31</v>
      </c>
      <c r="G14" s="55" t="s">
        <v>45</v>
      </c>
      <c r="H14" s="57">
        <v>61</v>
      </c>
      <c r="I14" s="61"/>
      <c r="J14" s="63">
        <v>207</v>
      </c>
      <c r="K14" s="65">
        <f>J14*(1-$H$2)</f>
        <v>82.800000000000011</v>
      </c>
      <c r="L14" s="67">
        <f>K14*I14</f>
        <v>0</v>
      </c>
      <c r="M14" s="16">
        <v>1</v>
      </c>
    </row>
    <row r="15" spans="1:13" x14ac:dyDescent="0.3">
      <c r="A15" s="35">
        <v>27</v>
      </c>
      <c r="B15" s="6" t="s">
        <v>42</v>
      </c>
      <c r="C15" s="7">
        <v>891366</v>
      </c>
      <c r="D15" s="8" t="s">
        <v>46</v>
      </c>
      <c r="E15" s="9" t="s">
        <v>47</v>
      </c>
      <c r="F15" s="10" t="s">
        <v>31</v>
      </c>
      <c r="G15" s="10" t="s">
        <v>45</v>
      </c>
      <c r="H15" s="11">
        <v>62</v>
      </c>
      <c r="I15" s="12"/>
      <c r="J15" s="13">
        <v>207</v>
      </c>
      <c r="K15" s="14">
        <f>J15*(1-$H$2)</f>
        <v>82.800000000000011</v>
      </c>
      <c r="L15" s="15">
        <f>K15*I15</f>
        <v>0</v>
      </c>
      <c r="M15" s="16">
        <v>1</v>
      </c>
    </row>
    <row r="16" spans="1:13" x14ac:dyDescent="0.3">
      <c r="A16" s="35">
        <v>31</v>
      </c>
      <c r="B16" s="40" t="s">
        <v>48</v>
      </c>
      <c r="C16" s="42">
        <v>891366</v>
      </c>
      <c r="D16" s="46" t="s">
        <v>43</v>
      </c>
      <c r="E16" s="52" t="s">
        <v>44</v>
      </c>
      <c r="F16" s="56" t="s">
        <v>31</v>
      </c>
      <c r="G16" s="56" t="s">
        <v>45</v>
      </c>
      <c r="H16" s="59">
        <v>61</v>
      </c>
      <c r="I16" s="62"/>
      <c r="J16" s="64">
        <v>207</v>
      </c>
      <c r="K16" s="66">
        <f>J16*(1-$H$2)</f>
        <v>82.800000000000011</v>
      </c>
      <c r="L16" s="68">
        <f>K16*I16</f>
        <v>0</v>
      </c>
      <c r="M16" s="25">
        <v>0</v>
      </c>
    </row>
    <row r="17" spans="1:13" x14ac:dyDescent="0.3">
      <c r="A17" s="35">
        <v>32</v>
      </c>
      <c r="B17" s="39" t="s">
        <v>48</v>
      </c>
      <c r="C17" s="41">
        <v>891366</v>
      </c>
      <c r="D17" s="43" t="s">
        <v>46</v>
      </c>
      <c r="E17" s="49" t="s">
        <v>47</v>
      </c>
      <c r="F17" s="55" t="s">
        <v>31</v>
      </c>
      <c r="G17" s="55" t="s">
        <v>45</v>
      </c>
      <c r="H17" s="57">
        <v>62</v>
      </c>
      <c r="I17" s="61"/>
      <c r="J17" s="63">
        <v>207</v>
      </c>
      <c r="K17" s="65">
        <f>J17*(1-$H$2)</f>
        <v>82.800000000000011</v>
      </c>
      <c r="L17" s="67">
        <f>K17*I17</f>
        <v>0</v>
      </c>
      <c r="M17" s="16">
        <v>1</v>
      </c>
    </row>
    <row r="18" spans="1:13" x14ac:dyDescent="0.3">
      <c r="A18" s="35">
        <v>41</v>
      </c>
      <c r="B18" s="6" t="s">
        <v>49</v>
      </c>
      <c r="C18" s="7">
        <v>891366</v>
      </c>
      <c r="D18" s="8" t="s">
        <v>50</v>
      </c>
      <c r="E18" s="9" t="s">
        <v>51</v>
      </c>
      <c r="F18" s="10" t="s">
        <v>28</v>
      </c>
      <c r="G18" s="10" t="s">
        <v>52</v>
      </c>
      <c r="H18" s="11">
        <v>53</v>
      </c>
      <c r="I18" s="12"/>
      <c r="J18" s="13">
        <v>242</v>
      </c>
      <c r="K18" s="14">
        <f>J18*(1-$H$2)</f>
        <v>96.800000000000011</v>
      </c>
      <c r="L18" s="15">
        <f>K18*I18</f>
        <v>0</v>
      </c>
      <c r="M18" s="16">
        <v>1</v>
      </c>
    </row>
    <row r="19" spans="1:13" x14ac:dyDescent="0.3">
      <c r="A19" s="35">
        <v>42</v>
      </c>
      <c r="B19" s="6" t="s">
        <v>49</v>
      </c>
      <c r="C19" s="7">
        <v>891366</v>
      </c>
      <c r="D19" s="8" t="s">
        <v>53</v>
      </c>
      <c r="E19" s="9" t="s">
        <v>54</v>
      </c>
      <c r="F19" s="10" t="s">
        <v>31</v>
      </c>
      <c r="G19" s="10" t="s">
        <v>55</v>
      </c>
      <c r="H19" s="11">
        <v>53</v>
      </c>
      <c r="I19" s="12"/>
      <c r="J19" s="13">
        <v>281</v>
      </c>
      <c r="K19" s="14">
        <f>J19*(1-$H$2)</f>
        <v>112.4</v>
      </c>
      <c r="L19" s="15">
        <f>K19*I19</f>
        <v>0</v>
      </c>
      <c r="M19" s="16">
        <v>1</v>
      </c>
    </row>
    <row r="20" spans="1:13" x14ac:dyDescent="0.3">
      <c r="A20" s="35">
        <v>43</v>
      </c>
      <c r="B20" s="6" t="s">
        <v>49</v>
      </c>
      <c r="C20" s="7">
        <v>891366</v>
      </c>
      <c r="D20" s="8" t="s">
        <v>56</v>
      </c>
      <c r="E20" s="9" t="s">
        <v>57</v>
      </c>
      <c r="F20" s="10" t="s">
        <v>31</v>
      </c>
      <c r="G20" s="10" t="s">
        <v>55</v>
      </c>
      <c r="H20" s="11">
        <v>53</v>
      </c>
      <c r="I20" s="12"/>
      <c r="J20" s="13">
        <v>281</v>
      </c>
      <c r="K20" s="14">
        <f>J20*(1-$H$2)</f>
        <v>112.4</v>
      </c>
      <c r="L20" s="15">
        <f>K20*I20</f>
        <v>0</v>
      </c>
      <c r="M20" s="16">
        <v>1</v>
      </c>
    </row>
    <row r="21" spans="1:13" x14ac:dyDescent="0.3">
      <c r="A21" s="35">
        <v>94</v>
      </c>
      <c r="B21" s="39" t="s">
        <v>58</v>
      </c>
      <c r="C21" s="41">
        <v>686215</v>
      </c>
      <c r="D21" s="43" t="s">
        <v>59</v>
      </c>
      <c r="E21" s="49" t="s">
        <v>60</v>
      </c>
      <c r="F21" s="55" t="s">
        <v>31</v>
      </c>
      <c r="G21" s="55" t="s">
        <v>61</v>
      </c>
      <c r="H21" s="57">
        <v>206</v>
      </c>
      <c r="I21" s="61"/>
      <c r="J21" s="63">
        <v>188</v>
      </c>
      <c r="K21" s="65">
        <f>J21*(1-$H$2)</f>
        <v>75.2</v>
      </c>
      <c r="L21" s="67">
        <f>K21*I21</f>
        <v>0</v>
      </c>
      <c r="M21" s="16">
        <v>1</v>
      </c>
    </row>
    <row r="22" spans="1:13" x14ac:dyDescent="0.3">
      <c r="A22" s="35">
        <v>97</v>
      </c>
      <c r="B22" s="6" t="s">
        <v>62</v>
      </c>
      <c r="C22" s="7">
        <v>686215</v>
      </c>
      <c r="D22" s="8" t="s">
        <v>63</v>
      </c>
      <c r="E22" s="9" t="s">
        <v>64</v>
      </c>
      <c r="F22" s="10" t="s">
        <v>18</v>
      </c>
      <c r="G22" s="10" t="s">
        <v>65</v>
      </c>
      <c r="H22" s="11">
        <v>70</v>
      </c>
      <c r="I22" s="12"/>
      <c r="J22" s="13">
        <v>196</v>
      </c>
      <c r="K22" s="14">
        <f>J22*(1-$H$2)</f>
        <v>78.400000000000006</v>
      </c>
      <c r="L22" s="15">
        <f>K22*I22</f>
        <v>0</v>
      </c>
      <c r="M22" s="16">
        <v>1</v>
      </c>
    </row>
    <row r="23" spans="1:13" x14ac:dyDescent="0.3">
      <c r="A23" s="35">
        <v>101</v>
      </c>
      <c r="B23" s="39" t="s">
        <v>62</v>
      </c>
      <c r="C23" s="41">
        <v>686215</v>
      </c>
      <c r="D23" s="47" t="s">
        <v>66</v>
      </c>
      <c r="E23" s="53" t="s">
        <v>67</v>
      </c>
      <c r="F23" s="55" t="s">
        <v>24</v>
      </c>
      <c r="G23" s="55" t="s">
        <v>68</v>
      </c>
      <c r="H23" s="57">
        <v>88</v>
      </c>
      <c r="I23" s="61"/>
      <c r="J23" s="63">
        <v>213</v>
      </c>
      <c r="K23" s="65">
        <f>J23*(1-$H$2)</f>
        <v>85.2</v>
      </c>
      <c r="L23" s="67">
        <f>K23*I23</f>
        <v>0</v>
      </c>
      <c r="M23" s="16">
        <v>1</v>
      </c>
    </row>
    <row r="24" spans="1:13" x14ac:dyDescent="0.3">
      <c r="A24" s="35">
        <v>104</v>
      </c>
      <c r="B24" s="6" t="s">
        <v>62</v>
      </c>
      <c r="C24" s="7">
        <v>686215</v>
      </c>
      <c r="D24" s="8" t="s">
        <v>59</v>
      </c>
      <c r="E24" s="9" t="s">
        <v>60</v>
      </c>
      <c r="F24" s="10" t="s">
        <v>31</v>
      </c>
      <c r="G24" s="10" t="s">
        <v>61</v>
      </c>
      <c r="H24" s="11">
        <v>206</v>
      </c>
      <c r="I24" s="12"/>
      <c r="J24" s="13">
        <v>188</v>
      </c>
      <c r="K24" s="14">
        <f>J24*(1-$H$2)</f>
        <v>75.2</v>
      </c>
      <c r="L24" s="15">
        <f>K24*I24</f>
        <v>0</v>
      </c>
      <c r="M24" s="16">
        <v>1</v>
      </c>
    </row>
    <row r="25" spans="1:13" x14ac:dyDescent="0.3">
      <c r="A25" s="35">
        <v>111</v>
      </c>
      <c r="B25" s="39" t="s">
        <v>69</v>
      </c>
      <c r="C25" s="41">
        <v>563254</v>
      </c>
      <c r="D25" s="43" t="s">
        <v>59</v>
      </c>
      <c r="E25" s="49" t="s">
        <v>60</v>
      </c>
      <c r="F25" s="55" t="s">
        <v>31</v>
      </c>
      <c r="G25" s="55" t="s">
        <v>61</v>
      </c>
      <c r="H25" s="57">
        <v>206</v>
      </c>
      <c r="I25" s="61"/>
      <c r="J25" s="63">
        <v>188</v>
      </c>
      <c r="K25" s="65">
        <f>J25*(1-$H$2)</f>
        <v>75.2</v>
      </c>
      <c r="L25" s="67">
        <f>K25*I25</f>
        <v>0</v>
      </c>
      <c r="M25" s="16">
        <v>1</v>
      </c>
    </row>
    <row r="26" spans="1:13" x14ac:dyDescent="0.3">
      <c r="A26" s="35">
        <v>112</v>
      </c>
      <c r="B26" s="40" t="s">
        <v>70</v>
      </c>
      <c r="C26" s="42">
        <v>563254</v>
      </c>
      <c r="D26" s="48" t="s">
        <v>71</v>
      </c>
      <c r="E26" s="54" t="s">
        <v>72</v>
      </c>
      <c r="F26" s="56" t="s">
        <v>18</v>
      </c>
      <c r="G26" s="56" t="s">
        <v>73</v>
      </c>
      <c r="H26" s="59">
        <v>96</v>
      </c>
      <c r="I26" s="62"/>
      <c r="J26" s="64">
        <v>322</v>
      </c>
      <c r="K26" s="66">
        <f>J26*(1-$H$2)</f>
        <v>128.80000000000001</v>
      </c>
      <c r="L26" s="68">
        <f>K26*I26</f>
        <v>0</v>
      </c>
      <c r="M26" s="25">
        <v>1</v>
      </c>
    </row>
    <row r="27" spans="1:13" x14ac:dyDescent="0.3">
      <c r="A27" s="35">
        <v>113</v>
      </c>
      <c r="B27" s="6" t="s">
        <v>74</v>
      </c>
      <c r="C27" s="7">
        <v>557072</v>
      </c>
      <c r="D27" s="8" t="s">
        <v>75</v>
      </c>
      <c r="E27" s="9" t="s">
        <v>76</v>
      </c>
      <c r="F27" s="10" t="s">
        <v>18</v>
      </c>
      <c r="G27" s="10" t="s">
        <v>77</v>
      </c>
      <c r="H27" s="11">
        <v>88</v>
      </c>
      <c r="I27" s="12"/>
      <c r="J27" s="13">
        <v>333</v>
      </c>
      <c r="K27" s="14">
        <f>J27*(1-$H$2)</f>
        <v>133.20000000000002</v>
      </c>
      <c r="L27" s="15">
        <f>K27*I27</f>
        <v>0</v>
      </c>
      <c r="M27" s="16">
        <v>1</v>
      </c>
    </row>
    <row r="28" spans="1:13" x14ac:dyDescent="0.3">
      <c r="A28" s="35">
        <v>114</v>
      </c>
      <c r="B28" s="40" t="s">
        <v>74</v>
      </c>
      <c r="C28" s="42">
        <v>557072</v>
      </c>
      <c r="D28" s="48" t="s">
        <v>78</v>
      </c>
      <c r="E28" s="54" t="s">
        <v>79</v>
      </c>
      <c r="F28" s="56" t="s">
        <v>18</v>
      </c>
      <c r="G28" s="56" t="s">
        <v>80</v>
      </c>
      <c r="H28" s="59">
        <v>60</v>
      </c>
      <c r="I28" s="62"/>
      <c r="J28" s="64">
        <v>372</v>
      </c>
      <c r="K28" s="66">
        <f>J28*(1-$H$2)</f>
        <v>148.80000000000001</v>
      </c>
      <c r="L28" s="68">
        <f>K28*I28</f>
        <v>0</v>
      </c>
      <c r="M28" s="25">
        <v>1</v>
      </c>
    </row>
    <row r="29" spans="1:13" x14ac:dyDescent="0.3">
      <c r="A29" s="35">
        <v>140</v>
      </c>
      <c r="B29" s="6" t="s">
        <v>81</v>
      </c>
      <c r="C29" s="7">
        <v>396229</v>
      </c>
      <c r="D29" s="8" t="s">
        <v>82</v>
      </c>
      <c r="E29" s="9" t="s">
        <v>83</v>
      </c>
      <c r="F29" s="10" t="s">
        <v>18</v>
      </c>
      <c r="G29" s="10" t="s">
        <v>84</v>
      </c>
      <c r="H29" s="11">
        <v>69</v>
      </c>
      <c r="I29" s="12"/>
      <c r="J29" s="13">
        <v>329</v>
      </c>
      <c r="K29" s="14">
        <f>J29*(1-$H$2)</f>
        <v>131.6</v>
      </c>
      <c r="L29" s="15">
        <f>K29*I29</f>
        <v>0</v>
      </c>
      <c r="M29" s="16">
        <v>1</v>
      </c>
    </row>
    <row r="30" spans="1:13" x14ac:dyDescent="0.3">
      <c r="A30" s="35">
        <v>141</v>
      </c>
      <c r="B30" s="40" t="s">
        <v>81</v>
      </c>
      <c r="C30" s="42">
        <v>396229</v>
      </c>
      <c r="D30" s="46" t="s">
        <v>85</v>
      </c>
      <c r="E30" s="52" t="s">
        <v>86</v>
      </c>
      <c r="F30" s="56" t="s">
        <v>18</v>
      </c>
      <c r="G30" s="56" t="s">
        <v>87</v>
      </c>
      <c r="H30" s="59">
        <v>69</v>
      </c>
      <c r="I30" s="62"/>
      <c r="J30" s="64">
        <v>329</v>
      </c>
      <c r="K30" s="66">
        <f>J30*(1-$H$2)</f>
        <v>131.6</v>
      </c>
      <c r="L30" s="68">
        <f>K30*I30</f>
        <v>0</v>
      </c>
      <c r="M30" s="25">
        <v>0</v>
      </c>
    </row>
    <row r="31" spans="1:13" x14ac:dyDescent="0.3">
      <c r="A31" s="35">
        <v>144</v>
      </c>
      <c r="B31" s="6" t="s">
        <v>81</v>
      </c>
      <c r="C31" s="7">
        <v>396229</v>
      </c>
      <c r="D31" s="8" t="s">
        <v>88</v>
      </c>
      <c r="E31" s="9" t="s">
        <v>89</v>
      </c>
      <c r="F31" s="10" t="s">
        <v>24</v>
      </c>
      <c r="G31" s="10" t="s">
        <v>90</v>
      </c>
      <c r="H31" s="11">
        <v>188</v>
      </c>
      <c r="I31" s="12"/>
      <c r="J31" s="13">
        <v>315</v>
      </c>
      <c r="K31" s="14">
        <f>J31*(1-$H$2)</f>
        <v>126</v>
      </c>
      <c r="L31" s="15">
        <f>K31*I31</f>
        <v>0</v>
      </c>
      <c r="M31" s="16">
        <v>1</v>
      </c>
    </row>
    <row r="32" spans="1:13" x14ac:dyDescent="0.3">
      <c r="A32" s="35">
        <v>146</v>
      </c>
      <c r="B32" s="17" t="s">
        <v>81</v>
      </c>
      <c r="C32" s="18">
        <v>396229</v>
      </c>
      <c r="D32" s="19" t="s">
        <v>50</v>
      </c>
      <c r="E32" s="20" t="s">
        <v>51</v>
      </c>
      <c r="F32" s="21" t="s">
        <v>28</v>
      </c>
      <c r="G32" s="21" t="s">
        <v>52</v>
      </c>
      <c r="H32" s="60">
        <v>53</v>
      </c>
      <c r="I32" s="27"/>
      <c r="J32" s="22">
        <v>242</v>
      </c>
      <c r="K32" s="23">
        <f>J32*(1-$H$2)</f>
        <v>96.800000000000011</v>
      </c>
      <c r="L32" s="24">
        <f>K32*I32</f>
        <v>0</v>
      </c>
      <c r="M32" s="25">
        <v>0</v>
      </c>
    </row>
    <row r="33" spans="1:13" x14ac:dyDescent="0.3">
      <c r="A33" s="35">
        <v>182</v>
      </c>
      <c r="B33" s="17" t="s">
        <v>91</v>
      </c>
      <c r="C33" s="18">
        <v>354848</v>
      </c>
      <c r="D33" s="44" t="s">
        <v>93</v>
      </c>
      <c r="E33" s="50" t="s">
        <v>94</v>
      </c>
      <c r="F33" s="21" t="s">
        <v>31</v>
      </c>
      <c r="G33" s="21" t="s">
        <v>92</v>
      </c>
      <c r="H33" s="26">
        <v>53</v>
      </c>
      <c r="I33" s="27"/>
      <c r="J33" s="22">
        <v>454</v>
      </c>
      <c r="K33" s="23">
        <f>J33*(1-$H$2)</f>
        <v>181.60000000000002</v>
      </c>
      <c r="L33" s="24">
        <f>K33*I33</f>
        <v>0</v>
      </c>
      <c r="M33" s="25">
        <v>0</v>
      </c>
    </row>
    <row r="34" spans="1:13" x14ac:dyDescent="0.3">
      <c r="A34" s="35">
        <v>185</v>
      </c>
      <c r="B34" s="39" t="s">
        <v>95</v>
      </c>
      <c r="C34" s="41">
        <v>287892</v>
      </c>
      <c r="D34" s="43" t="s">
        <v>71</v>
      </c>
      <c r="E34" s="49" t="s">
        <v>72</v>
      </c>
      <c r="F34" s="55" t="s">
        <v>18</v>
      </c>
      <c r="G34" s="55" t="s">
        <v>73</v>
      </c>
      <c r="H34" s="57">
        <v>96</v>
      </c>
      <c r="I34" s="61"/>
      <c r="J34" s="63">
        <v>322</v>
      </c>
      <c r="K34" s="65">
        <f>J34*(1-$H$2)</f>
        <v>128.80000000000001</v>
      </c>
      <c r="L34" s="67">
        <f>K34*I34</f>
        <v>0</v>
      </c>
      <c r="M34" s="16">
        <v>1</v>
      </c>
    </row>
    <row r="35" spans="1:13" x14ac:dyDescent="0.3">
      <c r="A35" s="35">
        <v>190</v>
      </c>
      <c r="B35" s="39" t="s">
        <v>95</v>
      </c>
      <c r="C35" s="41">
        <v>287892</v>
      </c>
      <c r="D35" s="43" t="s">
        <v>22</v>
      </c>
      <c r="E35" s="49" t="s">
        <v>23</v>
      </c>
      <c r="F35" s="55" t="s">
        <v>24</v>
      </c>
      <c r="G35" s="55" t="s">
        <v>25</v>
      </c>
      <c r="H35" s="57">
        <v>370</v>
      </c>
      <c r="I35" s="61"/>
      <c r="J35" s="63">
        <v>343</v>
      </c>
      <c r="K35" s="65">
        <f>J35*(1-$H$2)</f>
        <v>137.20000000000002</v>
      </c>
      <c r="L35" s="67">
        <f>K35*I35</f>
        <v>0</v>
      </c>
      <c r="M35" s="16">
        <v>1</v>
      </c>
    </row>
    <row r="36" spans="1:13" x14ac:dyDescent="0.3">
      <c r="A36" s="35">
        <v>194</v>
      </c>
      <c r="B36" s="40" t="s">
        <v>95</v>
      </c>
      <c r="C36" s="42">
        <v>287892</v>
      </c>
      <c r="D36" s="46" t="s">
        <v>96</v>
      </c>
      <c r="E36" s="52" t="s">
        <v>97</v>
      </c>
      <c r="F36" s="56" t="s">
        <v>39</v>
      </c>
      <c r="G36" s="56" t="s">
        <v>98</v>
      </c>
      <c r="H36" s="59">
        <v>64</v>
      </c>
      <c r="I36" s="62"/>
      <c r="J36" s="64">
        <v>291</v>
      </c>
      <c r="K36" s="66">
        <f>J36*(1-$H$2)</f>
        <v>116.4</v>
      </c>
      <c r="L36" s="68">
        <f>K36*I36</f>
        <v>0</v>
      </c>
      <c r="M36" s="25">
        <v>0</v>
      </c>
    </row>
    <row r="37" spans="1:13" x14ac:dyDescent="0.3">
      <c r="A37" s="35">
        <v>217</v>
      </c>
      <c r="B37" s="39" t="s">
        <v>99</v>
      </c>
      <c r="C37" s="41">
        <v>247769</v>
      </c>
      <c r="D37" s="43" t="s">
        <v>82</v>
      </c>
      <c r="E37" s="49" t="s">
        <v>83</v>
      </c>
      <c r="F37" s="55" t="s">
        <v>18</v>
      </c>
      <c r="G37" s="55" t="s">
        <v>84</v>
      </c>
      <c r="H37" s="57">
        <v>69</v>
      </c>
      <c r="I37" s="61"/>
      <c r="J37" s="63">
        <v>329</v>
      </c>
      <c r="K37" s="65">
        <f>J37*(1-$H$2)</f>
        <v>131.6</v>
      </c>
      <c r="L37" s="67">
        <f>K37*I37</f>
        <v>0</v>
      </c>
      <c r="M37" s="16">
        <v>1</v>
      </c>
    </row>
    <row r="38" spans="1:13" x14ac:dyDescent="0.3">
      <c r="A38" s="35">
        <v>218</v>
      </c>
      <c r="B38" s="17" t="s">
        <v>99</v>
      </c>
      <c r="C38" s="18">
        <v>247769</v>
      </c>
      <c r="D38" s="19" t="s">
        <v>85</v>
      </c>
      <c r="E38" s="20" t="s">
        <v>86</v>
      </c>
      <c r="F38" s="21" t="s">
        <v>18</v>
      </c>
      <c r="G38" s="21" t="s">
        <v>87</v>
      </c>
      <c r="H38" s="26">
        <v>69</v>
      </c>
      <c r="I38" s="27"/>
      <c r="J38" s="22">
        <v>329</v>
      </c>
      <c r="K38" s="23">
        <f>J38*(1-$H$2)</f>
        <v>131.6</v>
      </c>
      <c r="L38" s="24">
        <f>K38*I38</f>
        <v>0</v>
      </c>
      <c r="M38" s="25">
        <v>0</v>
      </c>
    </row>
    <row r="39" spans="1:13" x14ac:dyDescent="0.3">
      <c r="A39" s="35">
        <v>219</v>
      </c>
      <c r="B39" s="39" t="s">
        <v>99</v>
      </c>
      <c r="C39" s="41">
        <v>247769</v>
      </c>
      <c r="D39" s="43" t="s">
        <v>88</v>
      </c>
      <c r="E39" s="49" t="s">
        <v>89</v>
      </c>
      <c r="F39" s="55" t="s">
        <v>24</v>
      </c>
      <c r="G39" s="55" t="s">
        <v>90</v>
      </c>
      <c r="H39" s="57">
        <v>188</v>
      </c>
      <c r="I39" s="61"/>
      <c r="J39" s="63">
        <v>315</v>
      </c>
      <c r="K39" s="65">
        <f>J39*(1-$H$2)</f>
        <v>126</v>
      </c>
      <c r="L39" s="67">
        <f>K39*I39</f>
        <v>0</v>
      </c>
      <c r="M39" s="16">
        <v>1</v>
      </c>
    </row>
    <row r="40" spans="1:13" x14ac:dyDescent="0.3">
      <c r="A40" s="35">
        <v>220</v>
      </c>
      <c r="B40" s="39" t="s">
        <v>99</v>
      </c>
      <c r="C40" s="41">
        <v>247769</v>
      </c>
      <c r="D40" s="43" t="s">
        <v>53</v>
      </c>
      <c r="E40" s="49" t="s">
        <v>54</v>
      </c>
      <c r="F40" s="55" t="s">
        <v>31</v>
      </c>
      <c r="G40" s="55" t="s">
        <v>55</v>
      </c>
      <c r="H40" s="57">
        <v>53</v>
      </c>
      <c r="I40" s="61"/>
      <c r="J40" s="63">
        <v>281</v>
      </c>
      <c r="K40" s="65">
        <f>J40*(1-$H$2)</f>
        <v>112.4</v>
      </c>
      <c r="L40" s="67">
        <f>K40*I40</f>
        <v>0</v>
      </c>
      <c r="M40" s="16">
        <v>1</v>
      </c>
    </row>
    <row r="41" spans="1:13" x14ac:dyDescent="0.3">
      <c r="A41" s="35">
        <v>221</v>
      </c>
      <c r="B41" s="39" t="s">
        <v>99</v>
      </c>
      <c r="C41" s="41">
        <v>247769</v>
      </c>
      <c r="D41" s="43" t="s">
        <v>56</v>
      </c>
      <c r="E41" s="49" t="s">
        <v>57</v>
      </c>
      <c r="F41" s="55" t="s">
        <v>31</v>
      </c>
      <c r="G41" s="55" t="s">
        <v>55</v>
      </c>
      <c r="H41" s="57">
        <v>53</v>
      </c>
      <c r="I41" s="61"/>
      <c r="J41" s="63">
        <v>281</v>
      </c>
      <c r="K41" s="65">
        <f>J41*(1-$H$2)</f>
        <v>112.4</v>
      </c>
      <c r="L41" s="67">
        <f>K41*I41</f>
        <v>0</v>
      </c>
      <c r="M41" s="16">
        <v>1</v>
      </c>
    </row>
    <row r="42" spans="1:13" x14ac:dyDescent="0.3">
      <c r="A42" s="35">
        <v>232</v>
      </c>
      <c r="B42" s="6" t="s">
        <v>100</v>
      </c>
      <c r="C42" s="7">
        <v>246304</v>
      </c>
      <c r="D42" s="8" t="s">
        <v>102</v>
      </c>
      <c r="E42" s="9" t="s">
        <v>103</v>
      </c>
      <c r="F42" s="10" t="s">
        <v>20</v>
      </c>
      <c r="G42" s="10" t="s">
        <v>101</v>
      </c>
      <c r="H42" s="11">
        <v>75</v>
      </c>
      <c r="I42" s="12"/>
      <c r="J42" s="13">
        <v>1931</v>
      </c>
      <c r="K42" s="14">
        <f>J42*(1-$H$2)</f>
        <v>772.40000000000009</v>
      </c>
      <c r="L42" s="15">
        <f>K42*I42</f>
        <v>0</v>
      </c>
      <c r="M42" s="16">
        <v>1</v>
      </c>
    </row>
    <row r="43" spans="1:13" x14ac:dyDescent="0.3">
      <c r="A43" s="35">
        <v>233</v>
      </c>
      <c r="B43" s="6" t="s">
        <v>100</v>
      </c>
      <c r="C43" s="7">
        <v>246304</v>
      </c>
      <c r="D43" s="8" t="s">
        <v>104</v>
      </c>
      <c r="E43" s="9" t="s">
        <v>105</v>
      </c>
      <c r="F43" s="10" t="s">
        <v>20</v>
      </c>
      <c r="G43" s="10" t="s">
        <v>101</v>
      </c>
      <c r="H43" s="11">
        <v>75</v>
      </c>
      <c r="I43" s="12"/>
      <c r="J43" s="13">
        <v>1931</v>
      </c>
      <c r="K43" s="14">
        <f>J43*(1-$H$2)</f>
        <v>772.40000000000009</v>
      </c>
      <c r="L43" s="15">
        <f>K43*I43</f>
        <v>0</v>
      </c>
      <c r="M43" s="16">
        <v>1</v>
      </c>
    </row>
    <row r="44" spans="1:13" x14ac:dyDescent="0.3">
      <c r="A44" s="35">
        <v>234</v>
      </c>
      <c r="B44" s="6" t="s">
        <v>100</v>
      </c>
      <c r="C44" s="7">
        <v>246304</v>
      </c>
      <c r="D44" s="8" t="s">
        <v>106</v>
      </c>
      <c r="E44" s="9" t="s">
        <v>107</v>
      </c>
      <c r="F44" s="10" t="s">
        <v>24</v>
      </c>
      <c r="G44" s="10" t="s">
        <v>101</v>
      </c>
      <c r="H44" s="11">
        <v>178</v>
      </c>
      <c r="I44" s="12"/>
      <c r="J44" s="13">
        <v>340</v>
      </c>
      <c r="K44" s="14">
        <f>J44*(1-$H$2)</f>
        <v>136</v>
      </c>
      <c r="L44" s="15">
        <f>K44*I44</f>
        <v>0</v>
      </c>
      <c r="M44" s="16">
        <v>1</v>
      </c>
    </row>
    <row r="45" spans="1:13" x14ac:dyDescent="0.3">
      <c r="A45" s="35">
        <v>244</v>
      </c>
      <c r="B45" s="6" t="s">
        <v>108</v>
      </c>
      <c r="C45" s="7">
        <v>218785</v>
      </c>
      <c r="D45" s="8" t="s">
        <v>109</v>
      </c>
      <c r="E45" s="9" t="s">
        <v>110</v>
      </c>
      <c r="F45" s="10" t="s">
        <v>24</v>
      </c>
      <c r="G45" s="10" t="s">
        <v>111</v>
      </c>
      <c r="H45" s="11">
        <v>61</v>
      </c>
      <c r="I45" s="12"/>
      <c r="J45" s="13">
        <v>449</v>
      </c>
      <c r="K45" s="14">
        <f>J45*(1-$H$2)</f>
        <v>179.60000000000002</v>
      </c>
      <c r="L45" s="15">
        <f>K45*I45</f>
        <v>0</v>
      </c>
      <c r="M45" s="16">
        <v>1</v>
      </c>
    </row>
    <row r="46" spans="1:13" x14ac:dyDescent="0.3">
      <c r="A46" s="35">
        <v>245</v>
      </c>
      <c r="B46" s="39" t="s">
        <v>108</v>
      </c>
      <c r="C46" s="41">
        <v>218785</v>
      </c>
      <c r="D46" s="47" t="s">
        <v>112</v>
      </c>
      <c r="E46" s="53" t="s">
        <v>113</v>
      </c>
      <c r="F46" s="55" t="s">
        <v>24</v>
      </c>
      <c r="G46" s="55" t="s">
        <v>114</v>
      </c>
      <c r="H46" s="57">
        <v>87</v>
      </c>
      <c r="I46" s="61"/>
      <c r="J46" s="63">
        <v>361</v>
      </c>
      <c r="K46" s="65">
        <f>J46*(1-$H$2)</f>
        <v>144.4</v>
      </c>
      <c r="L46" s="67">
        <f>K46*I46</f>
        <v>0</v>
      </c>
      <c r="M46" s="16">
        <v>1</v>
      </c>
    </row>
    <row r="47" spans="1:13" x14ac:dyDescent="0.3">
      <c r="A47" s="35">
        <v>246</v>
      </c>
      <c r="B47" s="39" t="s">
        <v>108</v>
      </c>
      <c r="C47" s="41">
        <v>218785</v>
      </c>
      <c r="D47" s="47" t="s">
        <v>115</v>
      </c>
      <c r="E47" s="53" t="s">
        <v>116</v>
      </c>
      <c r="F47" s="55" t="s">
        <v>24</v>
      </c>
      <c r="G47" s="55" t="s">
        <v>114</v>
      </c>
      <c r="H47" s="57">
        <v>88</v>
      </c>
      <c r="I47" s="61"/>
      <c r="J47" s="63">
        <v>361</v>
      </c>
      <c r="K47" s="65">
        <f>J47*(1-$H$2)</f>
        <v>144.4</v>
      </c>
      <c r="L47" s="67">
        <f>K47*I47</f>
        <v>0</v>
      </c>
      <c r="M47" s="16">
        <v>1</v>
      </c>
    </row>
    <row r="48" spans="1:13" x14ac:dyDescent="0.3">
      <c r="A48" s="35">
        <v>273</v>
      </c>
      <c r="B48" s="6" t="s">
        <v>117</v>
      </c>
      <c r="C48" s="7">
        <v>201834</v>
      </c>
      <c r="D48" s="8" t="s">
        <v>118</v>
      </c>
      <c r="E48" s="9" t="s">
        <v>119</v>
      </c>
      <c r="F48" s="10" t="s">
        <v>28</v>
      </c>
      <c r="G48" s="10" t="s">
        <v>120</v>
      </c>
      <c r="H48" s="11">
        <v>225</v>
      </c>
      <c r="I48" s="12"/>
      <c r="J48" s="13">
        <v>343</v>
      </c>
      <c r="K48" s="14">
        <f>J48*(1-$H$2)</f>
        <v>137.20000000000002</v>
      </c>
      <c r="L48" s="15">
        <f>K48*I48</f>
        <v>0</v>
      </c>
      <c r="M48" s="16">
        <v>1</v>
      </c>
    </row>
    <row r="49" spans="1:13" x14ac:dyDescent="0.3">
      <c r="A49" s="35">
        <v>328</v>
      </c>
      <c r="B49" s="39" t="s">
        <v>121</v>
      </c>
      <c r="C49" s="41">
        <v>156152</v>
      </c>
      <c r="D49" s="47" t="s">
        <v>122</v>
      </c>
      <c r="E49" s="53" t="s">
        <v>123</v>
      </c>
      <c r="F49" s="55" t="s">
        <v>18</v>
      </c>
      <c r="G49" s="55" t="s">
        <v>124</v>
      </c>
      <c r="H49" s="57">
        <v>100</v>
      </c>
      <c r="I49" s="61"/>
      <c r="J49" s="63">
        <v>291</v>
      </c>
      <c r="K49" s="65">
        <f>J49*(1-$H$2)</f>
        <v>116.4</v>
      </c>
      <c r="L49" s="67">
        <f>K49*I49</f>
        <v>0</v>
      </c>
      <c r="M49" s="16">
        <v>1</v>
      </c>
    </row>
    <row r="50" spans="1:13" x14ac:dyDescent="0.3">
      <c r="A50" s="35">
        <v>361</v>
      </c>
      <c r="B50" s="6" t="s">
        <v>125</v>
      </c>
      <c r="C50" s="7">
        <v>147241</v>
      </c>
      <c r="D50" s="8" t="s">
        <v>126</v>
      </c>
      <c r="E50" s="9" t="s">
        <v>127</v>
      </c>
      <c r="F50" s="10" t="s">
        <v>31</v>
      </c>
      <c r="G50" s="10" t="s">
        <v>128</v>
      </c>
      <c r="H50" s="11">
        <v>85</v>
      </c>
      <c r="I50" s="12"/>
      <c r="J50" s="13">
        <v>255</v>
      </c>
      <c r="K50" s="14">
        <f>J50*(1-$H$2)</f>
        <v>102</v>
      </c>
      <c r="L50" s="15">
        <f>K50*I50</f>
        <v>0</v>
      </c>
      <c r="M50" s="16">
        <v>1</v>
      </c>
    </row>
    <row r="51" spans="1:13" x14ac:dyDescent="0.3">
      <c r="A51" s="35">
        <v>379</v>
      </c>
      <c r="B51" s="6" t="s">
        <v>129</v>
      </c>
      <c r="C51" s="7">
        <v>140384</v>
      </c>
      <c r="D51" s="8" t="s">
        <v>130</v>
      </c>
      <c r="E51" s="9" t="s">
        <v>131</v>
      </c>
      <c r="F51" s="10" t="s">
        <v>28</v>
      </c>
      <c r="G51" s="10" t="s">
        <v>132</v>
      </c>
      <c r="H51" s="11">
        <v>53</v>
      </c>
      <c r="I51" s="12"/>
      <c r="J51" s="13">
        <v>295</v>
      </c>
      <c r="K51" s="14">
        <f>J51*(1-$H$2)</f>
        <v>118</v>
      </c>
      <c r="L51" s="15">
        <f>K51*I51</f>
        <v>0</v>
      </c>
      <c r="M51" s="16">
        <v>1</v>
      </c>
    </row>
    <row r="52" spans="1:13" x14ac:dyDescent="0.3">
      <c r="A52" s="35">
        <v>472</v>
      </c>
      <c r="B52" s="40" t="s">
        <v>133</v>
      </c>
      <c r="C52" s="42">
        <v>109675</v>
      </c>
      <c r="D52" s="46" t="s">
        <v>134</v>
      </c>
      <c r="E52" s="52" t="s">
        <v>135</v>
      </c>
      <c r="F52" s="56" t="s">
        <v>31</v>
      </c>
      <c r="G52" s="56" t="s">
        <v>136</v>
      </c>
      <c r="H52" s="59">
        <v>83</v>
      </c>
      <c r="I52" s="62"/>
      <c r="J52" s="64">
        <v>238</v>
      </c>
      <c r="K52" s="66">
        <f>J52*(1-$H$2)</f>
        <v>95.2</v>
      </c>
      <c r="L52" s="68">
        <f>K52*I52</f>
        <v>0</v>
      </c>
      <c r="M52" s="25">
        <v>0</v>
      </c>
    </row>
    <row r="53" spans="1:13" x14ac:dyDescent="0.3">
      <c r="A53" s="35">
        <v>473</v>
      </c>
      <c r="B53" s="40" t="s">
        <v>133</v>
      </c>
      <c r="C53" s="42">
        <v>109675</v>
      </c>
      <c r="D53" s="46" t="s">
        <v>137</v>
      </c>
      <c r="E53" s="52" t="s">
        <v>138</v>
      </c>
      <c r="F53" s="56" t="s">
        <v>31</v>
      </c>
      <c r="G53" s="56" t="s">
        <v>136</v>
      </c>
      <c r="H53" s="59">
        <v>83</v>
      </c>
      <c r="I53" s="62"/>
      <c r="J53" s="64">
        <v>238</v>
      </c>
      <c r="K53" s="66">
        <f>J53*(1-$H$2)</f>
        <v>95.2</v>
      </c>
      <c r="L53" s="68">
        <f>K53*I53</f>
        <v>0</v>
      </c>
      <c r="M53" s="25">
        <v>0</v>
      </c>
    </row>
    <row r="54" spans="1:13" ht="27.6" x14ac:dyDescent="0.3">
      <c r="A54" s="35">
        <v>562</v>
      </c>
      <c r="B54" s="40" t="s">
        <v>139</v>
      </c>
      <c r="C54" s="42">
        <v>81042</v>
      </c>
      <c r="D54" s="46" t="s">
        <v>140</v>
      </c>
      <c r="E54" s="52" t="s">
        <v>141</v>
      </c>
      <c r="F54" s="56" t="s">
        <v>18</v>
      </c>
      <c r="G54" s="56" t="s">
        <v>142</v>
      </c>
      <c r="H54" s="59">
        <v>80</v>
      </c>
      <c r="I54" s="62"/>
      <c r="J54" s="64">
        <v>428</v>
      </c>
      <c r="K54" s="66">
        <f>J54*(1-$H$2)</f>
        <v>171.20000000000002</v>
      </c>
      <c r="L54" s="68">
        <f>K54*I54</f>
        <v>0</v>
      </c>
      <c r="M54" s="25">
        <v>0</v>
      </c>
    </row>
    <row r="55" spans="1:13" x14ac:dyDescent="0.3">
      <c r="A55" s="35">
        <v>597</v>
      </c>
      <c r="B55" s="40" t="s">
        <v>143</v>
      </c>
      <c r="C55" s="42">
        <v>77074</v>
      </c>
      <c r="D55" s="46" t="s">
        <v>144</v>
      </c>
      <c r="E55" s="52" t="s">
        <v>145</v>
      </c>
      <c r="F55" s="56" t="s">
        <v>24</v>
      </c>
      <c r="G55" s="56" t="s">
        <v>146</v>
      </c>
      <c r="H55" s="59">
        <v>80</v>
      </c>
      <c r="I55" s="62"/>
      <c r="J55" s="64">
        <v>344</v>
      </c>
      <c r="K55" s="66">
        <f>J55*(1-$H$2)</f>
        <v>137.6</v>
      </c>
      <c r="L55" s="68">
        <f>K55*I55</f>
        <v>0</v>
      </c>
      <c r="M55" s="25">
        <v>0</v>
      </c>
    </row>
    <row r="56" spans="1:13" x14ac:dyDescent="0.3">
      <c r="A56" s="35">
        <v>598</v>
      </c>
      <c r="B56" s="39" t="s">
        <v>143</v>
      </c>
      <c r="C56" s="41">
        <v>77074</v>
      </c>
      <c r="D56" s="43" t="s">
        <v>126</v>
      </c>
      <c r="E56" s="49" t="s">
        <v>127</v>
      </c>
      <c r="F56" s="55" t="s">
        <v>31</v>
      </c>
      <c r="G56" s="55" t="s">
        <v>128</v>
      </c>
      <c r="H56" s="57">
        <v>85</v>
      </c>
      <c r="I56" s="61"/>
      <c r="J56" s="63">
        <v>255</v>
      </c>
      <c r="K56" s="65">
        <f>J56*(1-$H$2)</f>
        <v>102</v>
      </c>
      <c r="L56" s="67">
        <f>K56*I56</f>
        <v>0</v>
      </c>
      <c r="M56" s="16">
        <v>1</v>
      </c>
    </row>
    <row r="57" spans="1:13" x14ac:dyDescent="0.3">
      <c r="A57" s="35">
        <v>605</v>
      </c>
      <c r="B57" s="39" t="s">
        <v>147</v>
      </c>
      <c r="C57" s="41">
        <v>77074</v>
      </c>
      <c r="D57" s="43" t="s">
        <v>144</v>
      </c>
      <c r="E57" s="49" t="s">
        <v>145</v>
      </c>
      <c r="F57" s="55" t="s">
        <v>24</v>
      </c>
      <c r="G57" s="55" t="s">
        <v>146</v>
      </c>
      <c r="H57" s="57">
        <v>80</v>
      </c>
      <c r="I57" s="61"/>
      <c r="J57" s="63">
        <v>344</v>
      </c>
      <c r="K57" s="65">
        <f>J57*(1-$H$2)</f>
        <v>137.6</v>
      </c>
      <c r="L57" s="67">
        <f>K57*I57</f>
        <v>0</v>
      </c>
      <c r="M57" s="16">
        <v>1</v>
      </c>
    </row>
    <row r="58" spans="1:13" x14ac:dyDescent="0.3">
      <c r="A58" s="35">
        <v>637</v>
      </c>
      <c r="B58" s="17" t="s">
        <v>148</v>
      </c>
      <c r="C58" s="18">
        <v>76530</v>
      </c>
      <c r="D58" s="19" t="s">
        <v>126</v>
      </c>
      <c r="E58" s="20" t="s">
        <v>127</v>
      </c>
      <c r="F58" s="21" t="s">
        <v>31</v>
      </c>
      <c r="G58" s="21" t="s">
        <v>128</v>
      </c>
      <c r="H58" s="26">
        <v>85</v>
      </c>
      <c r="I58" s="27"/>
      <c r="J58" s="22">
        <v>255</v>
      </c>
      <c r="K58" s="23">
        <f>J58*(1-$H$2)</f>
        <v>102</v>
      </c>
      <c r="L58" s="24">
        <f>K58*I58</f>
        <v>0</v>
      </c>
      <c r="M58" s="25">
        <v>0</v>
      </c>
    </row>
    <row r="59" spans="1:13" x14ac:dyDescent="0.3">
      <c r="A59" s="35">
        <v>663</v>
      </c>
      <c r="B59" s="40" t="s">
        <v>149</v>
      </c>
      <c r="C59" s="42">
        <v>66292</v>
      </c>
      <c r="D59" s="46" t="s">
        <v>150</v>
      </c>
      <c r="E59" s="52" t="s">
        <v>151</v>
      </c>
      <c r="F59" s="56" t="s">
        <v>39</v>
      </c>
      <c r="G59" s="56" t="s">
        <v>152</v>
      </c>
      <c r="H59" s="59">
        <v>53</v>
      </c>
      <c r="I59" s="62"/>
      <c r="J59" s="64">
        <v>202</v>
      </c>
      <c r="K59" s="66">
        <f>J59*(1-$H$2)</f>
        <v>80.800000000000011</v>
      </c>
      <c r="L59" s="68">
        <f>K59*I59</f>
        <v>0</v>
      </c>
      <c r="M59" s="25">
        <v>0</v>
      </c>
    </row>
    <row r="60" spans="1:13" x14ac:dyDescent="0.3">
      <c r="A60" s="35">
        <v>668</v>
      </c>
      <c r="B60" s="39" t="s">
        <v>153</v>
      </c>
      <c r="C60" s="41">
        <v>63564</v>
      </c>
      <c r="D60" s="43" t="s">
        <v>126</v>
      </c>
      <c r="E60" s="49" t="s">
        <v>127</v>
      </c>
      <c r="F60" s="55" t="s">
        <v>31</v>
      </c>
      <c r="G60" s="55" t="s">
        <v>128</v>
      </c>
      <c r="H60" s="57">
        <v>85</v>
      </c>
      <c r="I60" s="61"/>
      <c r="J60" s="63">
        <v>255</v>
      </c>
      <c r="K60" s="65">
        <f>J60*(1-$H$2)</f>
        <v>102</v>
      </c>
      <c r="L60" s="67">
        <f>K60*I60</f>
        <v>0</v>
      </c>
      <c r="M60" s="16">
        <v>1</v>
      </c>
    </row>
    <row r="61" spans="1:13" x14ac:dyDescent="0.3">
      <c r="A61" s="35">
        <v>677</v>
      </c>
      <c r="B61" s="6" t="s">
        <v>154</v>
      </c>
      <c r="C61" s="7">
        <v>62538</v>
      </c>
      <c r="D61" s="8" t="s">
        <v>155</v>
      </c>
      <c r="E61" s="9" t="s">
        <v>156</v>
      </c>
      <c r="F61" s="10" t="s">
        <v>18</v>
      </c>
      <c r="G61" s="10" t="s">
        <v>157</v>
      </c>
      <c r="H61" s="11">
        <v>186</v>
      </c>
      <c r="I61" s="12"/>
      <c r="J61" s="13">
        <v>528</v>
      </c>
      <c r="K61" s="14">
        <f>J61*(1-$H$2)</f>
        <v>211.20000000000002</v>
      </c>
      <c r="L61" s="15">
        <f>K61*I61</f>
        <v>0</v>
      </c>
      <c r="M61" s="16">
        <v>1</v>
      </c>
    </row>
    <row r="62" spans="1:13" x14ac:dyDescent="0.3">
      <c r="A62" s="35">
        <v>681</v>
      </c>
      <c r="B62" s="40" t="s">
        <v>158</v>
      </c>
      <c r="C62" s="42">
        <v>62198</v>
      </c>
      <c r="D62" s="46" t="s">
        <v>159</v>
      </c>
      <c r="E62" s="52" t="s">
        <v>160</v>
      </c>
      <c r="F62" s="56" t="s">
        <v>18</v>
      </c>
      <c r="G62" s="56" t="s">
        <v>161</v>
      </c>
      <c r="H62" s="59">
        <v>597</v>
      </c>
      <c r="I62" s="62"/>
      <c r="J62" s="64">
        <v>335</v>
      </c>
      <c r="K62" s="66">
        <f>J62*(1-$H$2)</f>
        <v>134</v>
      </c>
      <c r="L62" s="68">
        <f>K62*I62</f>
        <v>0</v>
      </c>
      <c r="M62" s="25">
        <v>0</v>
      </c>
    </row>
    <row r="63" spans="1:13" ht="27.6" x14ac:dyDescent="0.3">
      <c r="A63" s="35">
        <v>686</v>
      </c>
      <c r="B63" s="17" t="s">
        <v>162</v>
      </c>
      <c r="C63" s="18">
        <v>58698</v>
      </c>
      <c r="D63" s="19" t="s">
        <v>140</v>
      </c>
      <c r="E63" s="20" t="s">
        <v>141</v>
      </c>
      <c r="F63" s="21" t="s">
        <v>18</v>
      </c>
      <c r="G63" s="21" t="s">
        <v>142</v>
      </c>
      <c r="H63" s="58">
        <v>80</v>
      </c>
      <c r="I63" s="27"/>
      <c r="J63" s="22">
        <v>428</v>
      </c>
      <c r="K63" s="23">
        <f>J63*(1-$H$2)</f>
        <v>171.20000000000002</v>
      </c>
      <c r="L63" s="24">
        <f>K63*I63</f>
        <v>0</v>
      </c>
      <c r="M63" s="25">
        <v>0</v>
      </c>
    </row>
    <row r="64" spans="1:13" x14ac:dyDescent="0.3">
      <c r="A64" s="35">
        <v>733</v>
      </c>
      <c r="B64" s="17" t="s">
        <v>163</v>
      </c>
      <c r="C64" s="18">
        <v>46505</v>
      </c>
      <c r="D64" s="19" t="s">
        <v>75</v>
      </c>
      <c r="E64" s="20" t="s">
        <v>76</v>
      </c>
      <c r="F64" s="21" t="s">
        <v>18</v>
      </c>
      <c r="G64" s="21" t="s">
        <v>77</v>
      </c>
      <c r="H64" s="26">
        <v>88</v>
      </c>
      <c r="I64" s="27"/>
      <c r="J64" s="22">
        <v>333</v>
      </c>
      <c r="K64" s="23">
        <f>J64*(1-$H$2)</f>
        <v>133.20000000000002</v>
      </c>
      <c r="L64" s="24">
        <f>K64*I64</f>
        <v>0</v>
      </c>
      <c r="M64" s="25">
        <v>0</v>
      </c>
    </row>
    <row r="65" spans="1:13" x14ac:dyDescent="0.3">
      <c r="A65" s="35">
        <v>734</v>
      </c>
      <c r="B65" s="39" t="s">
        <v>163</v>
      </c>
      <c r="C65" s="41">
        <v>46505</v>
      </c>
      <c r="D65" s="43" t="s">
        <v>78</v>
      </c>
      <c r="E65" s="49" t="s">
        <v>79</v>
      </c>
      <c r="F65" s="55" t="s">
        <v>18</v>
      </c>
      <c r="G65" s="55" t="s">
        <v>80</v>
      </c>
      <c r="H65" s="57">
        <v>60</v>
      </c>
      <c r="I65" s="61"/>
      <c r="J65" s="63">
        <v>372</v>
      </c>
      <c r="K65" s="65">
        <f>J65*(1-$H$2)</f>
        <v>148.80000000000001</v>
      </c>
      <c r="L65" s="67">
        <f>K65*I65</f>
        <v>0</v>
      </c>
      <c r="M65" s="16">
        <v>1</v>
      </c>
    </row>
    <row r="66" spans="1:13" x14ac:dyDescent="0.3">
      <c r="A66" s="35">
        <v>798</v>
      </c>
      <c r="B66" s="17" t="s">
        <v>164</v>
      </c>
      <c r="C66" s="18" t="s">
        <v>0</v>
      </c>
      <c r="D66" s="19" t="s">
        <v>150</v>
      </c>
      <c r="E66" s="20" t="s">
        <v>151</v>
      </c>
      <c r="F66" s="21" t="s">
        <v>39</v>
      </c>
      <c r="G66" s="21" t="s">
        <v>152</v>
      </c>
      <c r="H66" s="26">
        <v>53</v>
      </c>
      <c r="I66" s="27"/>
      <c r="J66" s="22">
        <v>202</v>
      </c>
      <c r="K66" s="23">
        <f>J66*(1-$H$2)</f>
        <v>80.800000000000011</v>
      </c>
      <c r="L66" s="24">
        <f>K66*I66</f>
        <v>0</v>
      </c>
      <c r="M66" s="25">
        <v>0</v>
      </c>
    </row>
    <row r="67" spans="1:13" x14ac:dyDescent="0.3">
      <c r="A67" s="35">
        <v>884</v>
      </c>
      <c r="B67" s="39" t="s">
        <v>165</v>
      </c>
      <c r="C67" s="41" t="s">
        <v>0</v>
      </c>
      <c r="D67" s="43" t="s">
        <v>53</v>
      </c>
      <c r="E67" s="49" t="s">
        <v>54</v>
      </c>
      <c r="F67" s="55" t="s">
        <v>31</v>
      </c>
      <c r="G67" s="55" t="s">
        <v>55</v>
      </c>
      <c r="H67" s="57">
        <v>53</v>
      </c>
      <c r="I67" s="61"/>
      <c r="J67" s="63">
        <v>281</v>
      </c>
      <c r="K67" s="65">
        <f>J67*(1-$H$2)</f>
        <v>112.4</v>
      </c>
      <c r="L67" s="67">
        <f>K67*I67</f>
        <v>0</v>
      </c>
      <c r="M67" s="16">
        <v>1</v>
      </c>
    </row>
    <row r="68" spans="1:13" x14ac:dyDescent="0.3">
      <c r="A68" s="35">
        <v>885</v>
      </c>
      <c r="B68" s="17" t="s">
        <v>165</v>
      </c>
      <c r="C68" s="18" t="s">
        <v>0</v>
      </c>
      <c r="D68" s="19" t="s">
        <v>56</v>
      </c>
      <c r="E68" s="20" t="s">
        <v>57</v>
      </c>
      <c r="F68" s="21" t="s">
        <v>31</v>
      </c>
      <c r="G68" s="21" t="s">
        <v>55</v>
      </c>
      <c r="H68" s="58">
        <v>53</v>
      </c>
      <c r="I68" s="27"/>
      <c r="J68" s="22">
        <v>281</v>
      </c>
      <c r="K68" s="23">
        <f>J68*(1-$H$2)</f>
        <v>112.4</v>
      </c>
      <c r="L68" s="24">
        <f>K68*I68</f>
        <v>0</v>
      </c>
      <c r="M68" s="25">
        <v>0</v>
      </c>
    </row>
    <row r="69" spans="1:13" x14ac:dyDescent="0.3">
      <c r="A69" s="35">
        <v>890</v>
      </c>
      <c r="B69" s="39" t="s">
        <v>166</v>
      </c>
      <c r="C69" s="41" t="s">
        <v>0</v>
      </c>
      <c r="D69" s="43" t="s">
        <v>82</v>
      </c>
      <c r="E69" s="49" t="s">
        <v>83</v>
      </c>
      <c r="F69" s="55" t="s">
        <v>18</v>
      </c>
      <c r="G69" s="55" t="s">
        <v>84</v>
      </c>
      <c r="H69" s="57">
        <v>69</v>
      </c>
      <c r="I69" s="61"/>
      <c r="J69" s="63">
        <v>329</v>
      </c>
      <c r="K69" s="65">
        <f>J69*(1-$H$2)</f>
        <v>131.6</v>
      </c>
      <c r="L69" s="67">
        <f>K69*I69</f>
        <v>0</v>
      </c>
      <c r="M69" s="16">
        <v>1</v>
      </c>
    </row>
    <row r="70" spans="1:13" x14ac:dyDescent="0.3">
      <c r="A70" s="35">
        <v>891</v>
      </c>
      <c r="B70" s="17" t="s">
        <v>166</v>
      </c>
      <c r="C70" s="18" t="s">
        <v>0</v>
      </c>
      <c r="D70" s="19" t="s">
        <v>85</v>
      </c>
      <c r="E70" s="20" t="s">
        <v>86</v>
      </c>
      <c r="F70" s="21" t="s">
        <v>18</v>
      </c>
      <c r="G70" s="21" t="s">
        <v>87</v>
      </c>
      <c r="H70" s="58">
        <v>69</v>
      </c>
      <c r="I70" s="27"/>
      <c r="J70" s="22">
        <v>329</v>
      </c>
      <c r="K70" s="23">
        <f>J70*(1-$H$2)</f>
        <v>131.6</v>
      </c>
      <c r="L70" s="24">
        <f>K70*I70</f>
        <v>0</v>
      </c>
      <c r="M70" s="25">
        <v>0</v>
      </c>
    </row>
    <row r="71" spans="1:13" x14ac:dyDescent="0.3">
      <c r="A71" s="35">
        <v>892</v>
      </c>
      <c r="B71" s="17" t="s">
        <v>167</v>
      </c>
      <c r="C71" s="18" t="s">
        <v>0</v>
      </c>
      <c r="D71" s="19" t="s">
        <v>88</v>
      </c>
      <c r="E71" s="20" t="s">
        <v>89</v>
      </c>
      <c r="F71" s="21" t="s">
        <v>24</v>
      </c>
      <c r="G71" s="21" t="s">
        <v>90</v>
      </c>
      <c r="H71" s="58">
        <v>188</v>
      </c>
      <c r="I71" s="27"/>
      <c r="J71" s="22">
        <v>315</v>
      </c>
      <c r="K71" s="23">
        <f>J71*(1-$H$2)</f>
        <v>126</v>
      </c>
      <c r="L71" s="24">
        <f>K71*I71</f>
        <v>0</v>
      </c>
      <c r="M71" s="25">
        <v>0</v>
      </c>
    </row>
    <row r="72" spans="1:13" x14ac:dyDescent="0.3">
      <c r="A72" s="35">
        <v>1101</v>
      </c>
      <c r="B72" s="39" t="s">
        <v>168</v>
      </c>
      <c r="C72" s="41" t="s">
        <v>0</v>
      </c>
      <c r="D72" s="43" t="s">
        <v>53</v>
      </c>
      <c r="E72" s="49" t="s">
        <v>54</v>
      </c>
      <c r="F72" s="55" t="s">
        <v>31</v>
      </c>
      <c r="G72" s="55" t="s">
        <v>55</v>
      </c>
      <c r="H72" s="57">
        <v>53</v>
      </c>
      <c r="I72" s="61"/>
      <c r="J72" s="63">
        <v>281</v>
      </c>
      <c r="K72" s="65">
        <f>J72*(1-$H$2)</f>
        <v>112.4</v>
      </c>
      <c r="L72" s="67">
        <f>K72*I72</f>
        <v>0</v>
      </c>
      <c r="M72" s="16">
        <v>1</v>
      </c>
    </row>
    <row r="73" spans="1:13" x14ac:dyDescent="0.3">
      <c r="A73" s="35">
        <v>1102</v>
      </c>
      <c r="B73" s="39" t="s">
        <v>168</v>
      </c>
      <c r="C73" s="41" t="s">
        <v>0</v>
      </c>
      <c r="D73" s="43" t="s">
        <v>56</v>
      </c>
      <c r="E73" s="49" t="s">
        <v>57</v>
      </c>
      <c r="F73" s="55" t="s">
        <v>31</v>
      </c>
      <c r="G73" s="55" t="s">
        <v>55</v>
      </c>
      <c r="H73" s="57">
        <v>53</v>
      </c>
      <c r="I73" s="61"/>
      <c r="J73" s="63">
        <v>281</v>
      </c>
      <c r="K73" s="65">
        <f>J73*(1-$H$2)</f>
        <v>112.4</v>
      </c>
      <c r="L73" s="67">
        <f>K73*I73</f>
        <v>0</v>
      </c>
      <c r="M73" s="16">
        <v>1</v>
      </c>
    </row>
    <row r="74" spans="1:13" x14ac:dyDescent="0.3">
      <c r="A74" s="35">
        <v>1270</v>
      </c>
      <c r="B74" s="39" t="s">
        <v>169</v>
      </c>
      <c r="C74" s="41" t="s">
        <v>0</v>
      </c>
      <c r="D74" s="43" t="s">
        <v>109</v>
      </c>
      <c r="E74" s="49" t="s">
        <v>110</v>
      </c>
      <c r="F74" s="55" t="s">
        <v>24</v>
      </c>
      <c r="G74" s="55" t="s">
        <v>111</v>
      </c>
      <c r="H74" s="57">
        <v>61</v>
      </c>
      <c r="I74" s="61"/>
      <c r="J74" s="63">
        <v>449</v>
      </c>
      <c r="K74" s="65">
        <f>J74*(1-$H$2)</f>
        <v>179.60000000000002</v>
      </c>
      <c r="L74" s="67">
        <f>K74*I74</f>
        <v>0</v>
      </c>
      <c r="M74" s="16">
        <v>1</v>
      </c>
    </row>
    <row r="75" spans="1:13" x14ac:dyDescent="0.3">
      <c r="A75" s="35">
        <v>1271</v>
      </c>
      <c r="B75" s="39" t="s">
        <v>170</v>
      </c>
      <c r="C75" s="41" t="s">
        <v>0</v>
      </c>
      <c r="D75" s="43" t="s">
        <v>109</v>
      </c>
      <c r="E75" s="49" t="s">
        <v>110</v>
      </c>
      <c r="F75" s="55" t="s">
        <v>24</v>
      </c>
      <c r="G75" s="55" t="s">
        <v>111</v>
      </c>
      <c r="H75" s="57">
        <v>61</v>
      </c>
      <c r="I75" s="61"/>
      <c r="J75" s="63">
        <v>449</v>
      </c>
      <c r="K75" s="65">
        <f>J75*(1-$H$2)</f>
        <v>179.60000000000002</v>
      </c>
      <c r="L75" s="67">
        <f>K75*I75</f>
        <v>0</v>
      </c>
      <c r="M75" s="16">
        <v>1</v>
      </c>
    </row>
    <row r="76" spans="1:13" x14ac:dyDescent="0.3">
      <c r="A76" s="35">
        <v>1272</v>
      </c>
      <c r="B76" s="39" t="s">
        <v>171</v>
      </c>
      <c r="C76" s="41" t="s">
        <v>0</v>
      </c>
      <c r="D76" s="43" t="s">
        <v>109</v>
      </c>
      <c r="E76" s="49" t="s">
        <v>110</v>
      </c>
      <c r="F76" s="55" t="s">
        <v>24</v>
      </c>
      <c r="G76" s="55" t="s">
        <v>111</v>
      </c>
      <c r="H76" s="57">
        <v>61</v>
      </c>
      <c r="I76" s="61"/>
      <c r="J76" s="63">
        <v>449</v>
      </c>
      <c r="K76" s="65">
        <f>J76*(1-$H$2)</f>
        <v>179.60000000000002</v>
      </c>
      <c r="L76" s="67">
        <f>K76*I76</f>
        <v>0</v>
      </c>
      <c r="M76" s="16">
        <v>1</v>
      </c>
    </row>
    <row r="77" spans="1:13" x14ac:dyDescent="0.3">
      <c r="A77" s="35">
        <v>1273</v>
      </c>
      <c r="B77" s="39" t="s">
        <v>172</v>
      </c>
      <c r="C77" s="41" t="s">
        <v>0</v>
      </c>
      <c r="D77" s="43" t="s">
        <v>109</v>
      </c>
      <c r="E77" s="49" t="s">
        <v>110</v>
      </c>
      <c r="F77" s="55" t="s">
        <v>24</v>
      </c>
      <c r="G77" s="55" t="s">
        <v>111</v>
      </c>
      <c r="H77" s="57">
        <v>61</v>
      </c>
      <c r="I77" s="61"/>
      <c r="J77" s="63">
        <v>449</v>
      </c>
      <c r="K77" s="65">
        <f>J77*(1-$H$2)</f>
        <v>179.60000000000002</v>
      </c>
      <c r="L77" s="67">
        <f>K77*I77</f>
        <v>0</v>
      </c>
      <c r="M77" s="16">
        <v>1</v>
      </c>
    </row>
    <row r="78" spans="1:13" x14ac:dyDescent="0.3">
      <c r="A78" s="35">
        <v>1274</v>
      </c>
      <c r="B78" s="39" t="s">
        <v>173</v>
      </c>
      <c r="C78" s="41" t="s">
        <v>0</v>
      </c>
      <c r="D78" s="43" t="s">
        <v>109</v>
      </c>
      <c r="E78" s="49" t="s">
        <v>110</v>
      </c>
      <c r="F78" s="55" t="s">
        <v>24</v>
      </c>
      <c r="G78" s="55" t="s">
        <v>111</v>
      </c>
      <c r="H78" s="57">
        <v>61</v>
      </c>
      <c r="I78" s="61"/>
      <c r="J78" s="63">
        <v>449</v>
      </c>
      <c r="K78" s="65">
        <f>J78*(1-$H$2)</f>
        <v>179.60000000000002</v>
      </c>
      <c r="L78" s="67">
        <f>K78*I78</f>
        <v>0</v>
      </c>
      <c r="M78" s="16">
        <v>1</v>
      </c>
    </row>
    <row r="79" spans="1:13" x14ac:dyDescent="0.3">
      <c r="A79" s="35">
        <v>1275</v>
      </c>
      <c r="B79" s="39" t="s">
        <v>174</v>
      </c>
      <c r="C79" s="41" t="s">
        <v>0</v>
      </c>
      <c r="D79" s="43" t="s">
        <v>109</v>
      </c>
      <c r="E79" s="49" t="s">
        <v>110</v>
      </c>
      <c r="F79" s="55" t="s">
        <v>24</v>
      </c>
      <c r="G79" s="55" t="s">
        <v>111</v>
      </c>
      <c r="H79" s="57">
        <v>61</v>
      </c>
      <c r="I79" s="61"/>
      <c r="J79" s="63">
        <v>449</v>
      </c>
      <c r="K79" s="65">
        <f>J79*(1-$H$2)</f>
        <v>179.60000000000002</v>
      </c>
      <c r="L79" s="67">
        <f>K79*I79</f>
        <v>0</v>
      </c>
      <c r="M79" s="16">
        <v>1</v>
      </c>
    </row>
    <row r="80" spans="1:13" x14ac:dyDescent="0.3">
      <c r="A80" s="35">
        <v>1281</v>
      </c>
      <c r="B80" s="6" t="s">
        <v>175</v>
      </c>
      <c r="C80" s="7" t="s">
        <v>0</v>
      </c>
      <c r="D80" s="8" t="s">
        <v>176</v>
      </c>
      <c r="E80" s="9" t="s">
        <v>177</v>
      </c>
      <c r="F80" s="10" t="s">
        <v>24</v>
      </c>
      <c r="G80" s="10" t="s">
        <v>178</v>
      </c>
      <c r="H80" s="11">
        <v>220</v>
      </c>
      <c r="I80" s="12"/>
      <c r="J80" s="13">
        <v>424</v>
      </c>
      <c r="K80" s="14">
        <f>J80*(1-$H$2)</f>
        <v>169.60000000000002</v>
      </c>
      <c r="L80" s="15">
        <f>K80*I80</f>
        <v>0</v>
      </c>
      <c r="M80" s="16">
        <v>1</v>
      </c>
    </row>
    <row r="81" spans="1:13" x14ac:dyDescent="0.3">
      <c r="A81" s="35">
        <v>1282</v>
      </c>
      <c r="B81" s="6" t="s">
        <v>175</v>
      </c>
      <c r="C81" s="7" t="s">
        <v>0</v>
      </c>
      <c r="D81" s="8" t="s">
        <v>179</v>
      </c>
      <c r="E81" s="9" t="s">
        <v>180</v>
      </c>
      <c r="F81" s="10" t="s">
        <v>24</v>
      </c>
      <c r="G81" s="10" t="s">
        <v>181</v>
      </c>
      <c r="H81" s="11">
        <v>113</v>
      </c>
      <c r="I81" s="12"/>
      <c r="J81" s="13">
        <v>424</v>
      </c>
      <c r="K81" s="14">
        <f>J81*(1-$H$2)</f>
        <v>169.60000000000002</v>
      </c>
      <c r="L81" s="15">
        <f>K81*I81</f>
        <v>0</v>
      </c>
      <c r="M81" s="16">
        <v>1</v>
      </c>
    </row>
    <row r="82" spans="1:13" x14ac:dyDescent="0.3">
      <c r="A82" s="35">
        <v>1284</v>
      </c>
      <c r="B82" s="39" t="s">
        <v>175</v>
      </c>
      <c r="C82" s="41" t="s">
        <v>0</v>
      </c>
      <c r="D82" s="43" t="s">
        <v>126</v>
      </c>
      <c r="E82" s="49" t="s">
        <v>127</v>
      </c>
      <c r="F82" s="55" t="s">
        <v>31</v>
      </c>
      <c r="G82" s="55" t="s">
        <v>128</v>
      </c>
      <c r="H82" s="57">
        <v>85</v>
      </c>
      <c r="I82" s="61"/>
      <c r="J82" s="63">
        <v>255</v>
      </c>
      <c r="K82" s="65">
        <f>J82*(1-$H$2)</f>
        <v>102</v>
      </c>
      <c r="L82" s="67">
        <f>K82*I82</f>
        <v>0</v>
      </c>
      <c r="M82" s="16">
        <v>1</v>
      </c>
    </row>
    <row r="83" spans="1:13" x14ac:dyDescent="0.3">
      <c r="A83" s="35">
        <v>1311</v>
      </c>
      <c r="B83" s="39" t="s">
        <v>182</v>
      </c>
      <c r="C83" s="41" t="s">
        <v>0</v>
      </c>
      <c r="D83" s="43" t="s">
        <v>184</v>
      </c>
      <c r="E83" s="49" t="s">
        <v>185</v>
      </c>
      <c r="F83" s="55" t="s">
        <v>28</v>
      </c>
      <c r="G83" s="55" t="s">
        <v>183</v>
      </c>
      <c r="H83" s="57">
        <v>62</v>
      </c>
      <c r="I83" s="61"/>
      <c r="J83" s="63">
        <v>274</v>
      </c>
      <c r="K83" s="65">
        <f>J83*(1-$H$2)</f>
        <v>109.60000000000001</v>
      </c>
      <c r="L83" s="67">
        <f>K83*I83</f>
        <v>0</v>
      </c>
      <c r="M83" s="16">
        <v>1</v>
      </c>
    </row>
    <row r="84" spans="1:13" x14ac:dyDescent="0.3">
      <c r="A84" s="35">
        <v>1315</v>
      </c>
      <c r="B84" s="39" t="s">
        <v>186</v>
      </c>
      <c r="C84" s="41" t="s">
        <v>0</v>
      </c>
      <c r="D84" s="43" t="s">
        <v>176</v>
      </c>
      <c r="E84" s="49" t="s">
        <v>177</v>
      </c>
      <c r="F84" s="55" t="s">
        <v>24</v>
      </c>
      <c r="G84" s="55" t="s">
        <v>178</v>
      </c>
      <c r="H84" s="57">
        <v>220</v>
      </c>
      <c r="I84" s="61"/>
      <c r="J84" s="63">
        <v>424</v>
      </c>
      <c r="K84" s="65">
        <f>J84*(1-$H$2)</f>
        <v>169.60000000000002</v>
      </c>
      <c r="L84" s="67">
        <f>K84*I84</f>
        <v>0</v>
      </c>
      <c r="M84" s="16">
        <v>1</v>
      </c>
    </row>
    <row r="85" spans="1:13" x14ac:dyDescent="0.3">
      <c r="A85" s="35">
        <v>1316</v>
      </c>
      <c r="B85" s="39" t="s">
        <v>186</v>
      </c>
      <c r="C85" s="41" t="s">
        <v>0</v>
      </c>
      <c r="D85" s="43" t="s">
        <v>179</v>
      </c>
      <c r="E85" s="49" t="s">
        <v>180</v>
      </c>
      <c r="F85" s="55" t="s">
        <v>24</v>
      </c>
      <c r="G85" s="55" t="s">
        <v>181</v>
      </c>
      <c r="H85" s="57">
        <v>113</v>
      </c>
      <c r="I85" s="61"/>
      <c r="J85" s="63">
        <v>424</v>
      </c>
      <c r="K85" s="65">
        <f>J85*(1-$H$2)</f>
        <v>169.60000000000002</v>
      </c>
      <c r="L85" s="67">
        <f>K85*I85</f>
        <v>0</v>
      </c>
      <c r="M85" s="16">
        <v>1</v>
      </c>
    </row>
    <row r="86" spans="1:13" x14ac:dyDescent="0.3">
      <c r="A86" s="35">
        <v>1318</v>
      </c>
      <c r="B86" s="39" t="s">
        <v>186</v>
      </c>
      <c r="C86" s="41" t="s">
        <v>0</v>
      </c>
      <c r="D86" s="43" t="s">
        <v>126</v>
      </c>
      <c r="E86" s="49" t="s">
        <v>127</v>
      </c>
      <c r="F86" s="55" t="s">
        <v>31</v>
      </c>
      <c r="G86" s="55" t="s">
        <v>128</v>
      </c>
      <c r="H86" s="57">
        <v>85</v>
      </c>
      <c r="I86" s="61"/>
      <c r="J86" s="63">
        <v>255</v>
      </c>
      <c r="K86" s="65">
        <f>J86*(1-$H$2)</f>
        <v>102</v>
      </c>
      <c r="L86" s="67">
        <f>K86*I86</f>
        <v>0</v>
      </c>
      <c r="M86" s="16">
        <v>1</v>
      </c>
    </row>
    <row r="87" spans="1:13" x14ac:dyDescent="0.3">
      <c r="A87" s="35">
        <v>1323</v>
      </c>
      <c r="B87" s="39" t="s">
        <v>187</v>
      </c>
      <c r="C87" s="41" t="s">
        <v>0</v>
      </c>
      <c r="D87" s="43" t="s">
        <v>176</v>
      </c>
      <c r="E87" s="49" t="s">
        <v>177</v>
      </c>
      <c r="F87" s="55" t="s">
        <v>24</v>
      </c>
      <c r="G87" s="55" t="s">
        <v>178</v>
      </c>
      <c r="H87" s="57">
        <v>220</v>
      </c>
      <c r="I87" s="61"/>
      <c r="J87" s="63">
        <v>424</v>
      </c>
      <c r="K87" s="65">
        <f>J87*(1-$H$2)</f>
        <v>169.60000000000002</v>
      </c>
      <c r="L87" s="67">
        <f>K87*I87</f>
        <v>0</v>
      </c>
      <c r="M87" s="16">
        <v>1</v>
      </c>
    </row>
    <row r="88" spans="1:13" x14ac:dyDescent="0.3">
      <c r="A88" s="35">
        <v>1324</v>
      </c>
      <c r="B88" s="39" t="s">
        <v>187</v>
      </c>
      <c r="C88" s="41" t="s">
        <v>0</v>
      </c>
      <c r="D88" s="43" t="s">
        <v>179</v>
      </c>
      <c r="E88" s="49" t="s">
        <v>180</v>
      </c>
      <c r="F88" s="55" t="s">
        <v>24</v>
      </c>
      <c r="G88" s="55" t="s">
        <v>181</v>
      </c>
      <c r="H88" s="57">
        <v>113</v>
      </c>
      <c r="I88" s="61"/>
      <c r="J88" s="63">
        <v>424</v>
      </c>
      <c r="K88" s="65">
        <f>J88*(1-$H$2)</f>
        <v>169.60000000000002</v>
      </c>
      <c r="L88" s="67">
        <f>K88*I88</f>
        <v>0</v>
      </c>
      <c r="M88" s="16">
        <v>1</v>
      </c>
    </row>
    <row r="89" spans="1:13" x14ac:dyDescent="0.3">
      <c r="A89" s="35">
        <v>1332</v>
      </c>
      <c r="B89" s="17" t="s">
        <v>188</v>
      </c>
      <c r="C89" s="18" t="s">
        <v>0</v>
      </c>
      <c r="D89" s="19" t="s">
        <v>126</v>
      </c>
      <c r="E89" s="20" t="s">
        <v>127</v>
      </c>
      <c r="F89" s="21" t="s">
        <v>31</v>
      </c>
      <c r="G89" s="21" t="s">
        <v>128</v>
      </c>
      <c r="H89" s="26">
        <v>85</v>
      </c>
      <c r="I89" s="27"/>
      <c r="J89" s="22">
        <v>255</v>
      </c>
      <c r="K89" s="23">
        <f>J89*(1-$H$2)</f>
        <v>102</v>
      </c>
      <c r="L89" s="24">
        <f>K89*I89</f>
        <v>0</v>
      </c>
      <c r="M89" s="25">
        <v>0</v>
      </c>
    </row>
    <row r="90" spans="1:13" x14ac:dyDescent="0.3">
      <c r="A90" s="35">
        <v>1339</v>
      </c>
      <c r="B90" s="17" t="s">
        <v>189</v>
      </c>
      <c r="C90" s="18" t="s">
        <v>0</v>
      </c>
      <c r="D90" s="19" t="s">
        <v>144</v>
      </c>
      <c r="E90" s="20" t="s">
        <v>145</v>
      </c>
      <c r="F90" s="21" t="s">
        <v>24</v>
      </c>
      <c r="G90" s="21" t="s">
        <v>146</v>
      </c>
      <c r="H90" s="26">
        <v>80</v>
      </c>
      <c r="I90" s="27"/>
      <c r="J90" s="22">
        <v>344</v>
      </c>
      <c r="K90" s="23">
        <f>J90*(1-$H$2)</f>
        <v>137.6</v>
      </c>
      <c r="L90" s="24">
        <f>K90*I90</f>
        <v>0</v>
      </c>
      <c r="M90" s="25">
        <v>0</v>
      </c>
    </row>
    <row r="91" spans="1:13" x14ac:dyDescent="0.3">
      <c r="A91" s="35">
        <v>1343</v>
      </c>
      <c r="B91" s="17" t="s">
        <v>190</v>
      </c>
      <c r="C91" s="18" t="s">
        <v>0</v>
      </c>
      <c r="D91" s="19" t="s">
        <v>144</v>
      </c>
      <c r="E91" s="20" t="s">
        <v>145</v>
      </c>
      <c r="F91" s="21" t="s">
        <v>24</v>
      </c>
      <c r="G91" s="21" t="s">
        <v>146</v>
      </c>
      <c r="H91" s="26">
        <v>80</v>
      </c>
      <c r="I91" s="27"/>
      <c r="J91" s="22">
        <v>344</v>
      </c>
      <c r="K91" s="23">
        <f>J91*(1-$H$2)</f>
        <v>137.6</v>
      </c>
      <c r="L91" s="24">
        <f>K91*I91</f>
        <v>0</v>
      </c>
      <c r="M91" s="25">
        <v>0</v>
      </c>
    </row>
    <row r="92" spans="1:13" x14ac:dyDescent="0.3">
      <c r="A92" s="35">
        <v>1344</v>
      </c>
      <c r="B92" s="17" t="s">
        <v>190</v>
      </c>
      <c r="C92" s="18" t="s">
        <v>0</v>
      </c>
      <c r="D92" s="19" t="s">
        <v>126</v>
      </c>
      <c r="E92" s="20" t="s">
        <v>127</v>
      </c>
      <c r="F92" s="21" t="s">
        <v>31</v>
      </c>
      <c r="G92" s="21" t="s">
        <v>128</v>
      </c>
      <c r="H92" s="58">
        <v>85</v>
      </c>
      <c r="I92" s="27"/>
      <c r="J92" s="22">
        <v>255</v>
      </c>
      <c r="K92" s="23">
        <f>J92*(1-$H$2)</f>
        <v>102</v>
      </c>
      <c r="L92" s="24">
        <f>K92*I92</f>
        <v>0</v>
      </c>
      <c r="M92" s="25">
        <v>0</v>
      </c>
    </row>
    <row r="93" spans="1:13" x14ac:dyDescent="0.3">
      <c r="A93" s="35">
        <v>1386</v>
      </c>
      <c r="B93" s="39" t="s">
        <v>191</v>
      </c>
      <c r="C93" s="41" t="s">
        <v>0</v>
      </c>
      <c r="D93" s="43" t="s">
        <v>176</v>
      </c>
      <c r="E93" s="49" t="s">
        <v>177</v>
      </c>
      <c r="F93" s="55" t="s">
        <v>24</v>
      </c>
      <c r="G93" s="55" t="s">
        <v>178</v>
      </c>
      <c r="H93" s="57">
        <v>220</v>
      </c>
      <c r="I93" s="61"/>
      <c r="J93" s="63">
        <v>424</v>
      </c>
      <c r="K93" s="65">
        <f>J93*(1-$H$2)</f>
        <v>169.60000000000002</v>
      </c>
      <c r="L93" s="67">
        <f>K93*I93</f>
        <v>0</v>
      </c>
      <c r="M93" s="16">
        <v>1</v>
      </c>
    </row>
    <row r="94" spans="1:13" x14ac:dyDescent="0.3">
      <c r="A94" s="35">
        <v>1387</v>
      </c>
      <c r="B94" s="39" t="s">
        <v>191</v>
      </c>
      <c r="C94" s="41" t="s">
        <v>0</v>
      </c>
      <c r="D94" s="43" t="s">
        <v>179</v>
      </c>
      <c r="E94" s="49" t="s">
        <v>180</v>
      </c>
      <c r="F94" s="55" t="s">
        <v>24</v>
      </c>
      <c r="G94" s="55" t="s">
        <v>181</v>
      </c>
      <c r="H94" s="57">
        <v>113</v>
      </c>
      <c r="I94" s="61"/>
      <c r="J94" s="63">
        <v>424</v>
      </c>
      <c r="K94" s="65">
        <f>J94*(1-$H$2)</f>
        <v>169.60000000000002</v>
      </c>
      <c r="L94" s="67">
        <f>K94*I94</f>
        <v>0</v>
      </c>
      <c r="M94" s="16">
        <v>1</v>
      </c>
    </row>
    <row r="95" spans="1:13" x14ac:dyDescent="0.3">
      <c r="A95" s="35">
        <v>1389</v>
      </c>
      <c r="B95" s="39" t="s">
        <v>191</v>
      </c>
      <c r="C95" s="41" t="s">
        <v>0</v>
      </c>
      <c r="D95" s="43" t="s">
        <v>126</v>
      </c>
      <c r="E95" s="49" t="s">
        <v>127</v>
      </c>
      <c r="F95" s="55" t="s">
        <v>31</v>
      </c>
      <c r="G95" s="55" t="s">
        <v>128</v>
      </c>
      <c r="H95" s="57">
        <v>85</v>
      </c>
      <c r="I95" s="61"/>
      <c r="J95" s="63">
        <v>255</v>
      </c>
      <c r="K95" s="65">
        <f>J95*(1-$H$2)</f>
        <v>102</v>
      </c>
      <c r="L95" s="67">
        <f>K95*I95</f>
        <v>0</v>
      </c>
      <c r="M95" s="16">
        <v>1</v>
      </c>
    </row>
    <row r="96" spans="1:13" x14ac:dyDescent="0.3">
      <c r="A96" s="35">
        <v>1395</v>
      </c>
      <c r="B96" s="17" t="s">
        <v>192</v>
      </c>
      <c r="C96" s="18" t="s">
        <v>0</v>
      </c>
      <c r="D96" s="19" t="s">
        <v>184</v>
      </c>
      <c r="E96" s="20" t="s">
        <v>185</v>
      </c>
      <c r="F96" s="21" t="s">
        <v>28</v>
      </c>
      <c r="G96" s="21" t="s">
        <v>183</v>
      </c>
      <c r="H96" s="26">
        <v>62</v>
      </c>
      <c r="I96" s="27"/>
      <c r="J96" s="22">
        <v>274</v>
      </c>
      <c r="K96" s="23">
        <f>J96*(1-$H$2)</f>
        <v>109.60000000000001</v>
      </c>
      <c r="L96" s="24">
        <f>K96*I96</f>
        <v>0</v>
      </c>
      <c r="M96" s="25">
        <v>0</v>
      </c>
    </row>
    <row r="97" spans="1:13" x14ac:dyDescent="0.3">
      <c r="A97" s="35">
        <v>1445</v>
      </c>
      <c r="B97" s="39" t="s">
        <v>193</v>
      </c>
      <c r="C97" s="41" t="s">
        <v>0</v>
      </c>
      <c r="D97" s="43" t="s">
        <v>144</v>
      </c>
      <c r="E97" s="49" t="s">
        <v>145</v>
      </c>
      <c r="F97" s="55" t="s">
        <v>24</v>
      </c>
      <c r="G97" s="55" t="s">
        <v>146</v>
      </c>
      <c r="H97" s="57">
        <v>80</v>
      </c>
      <c r="I97" s="61"/>
      <c r="J97" s="63">
        <v>344</v>
      </c>
      <c r="K97" s="65">
        <f>J97*(1-$H$2)</f>
        <v>137.6</v>
      </c>
      <c r="L97" s="67">
        <f>K97*I97</f>
        <v>0</v>
      </c>
      <c r="M97" s="16">
        <v>1</v>
      </c>
    </row>
    <row r="98" spans="1:13" x14ac:dyDescent="0.3">
      <c r="A98" s="35">
        <v>1449</v>
      </c>
      <c r="B98" s="17" t="s">
        <v>194</v>
      </c>
      <c r="C98" s="18" t="s">
        <v>0</v>
      </c>
      <c r="D98" s="19" t="s">
        <v>144</v>
      </c>
      <c r="E98" s="20" t="s">
        <v>145</v>
      </c>
      <c r="F98" s="21" t="s">
        <v>24</v>
      </c>
      <c r="G98" s="21" t="s">
        <v>146</v>
      </c>
      <c r="H98" s="26">
        <v>80</v>
      </c>
      <c r="I98" s="27"/>
      <c r="J98" s="22">
        <v>344</v>
      </c>
      <c r="K98" s="23">
        <f>J98*(1-$H$2)</f>
        <v>137.6</v>
      </c>
      <c r="L98" s="24">
        <f>K98*I98</f>
        <v>0</v>
      </c>
      <c r="M98" s="25">
        <v>0</v>
      </c>
    </row>
    <row r="99" spans="1:13" x14ac:dyDescent="0.3">
      <c r="A99" s="35">
        <v>1450</v>
      </c>
      <c r="B99" s="17" t="s">
        <v>194</v>
      </c>
      <c r="C99" s="18" t="s">
        <v>0</v>
      </c>
      <c r="D99" s="19" t="s">
        <v>126</v>
      </c>
      <c r="E99" s="20" t="s">
        <v>127</v>
      </c>
      <c r="F99" s="21" t="s">
        <v>31</v>
      </c>
      <c r="G99" s="21" t="s">
        <v>128</v>
      </c>
      <c r="H99" s="58">
        <v>85</v>
      </c>
      <c r="I99" s="27"/>
      <c r="J99" s="22">
        <v>255</v>
      </c>
      <c r="K99" s="23">
        <f>J99*(1-$H$2)</f>
        <v>102</v>
      </c>
      <c r="L99" s="24">
        <f>K99*I99</f>
        <v>0</v>
      </c>
      <c r="M99" s="25">
        <v>0</v>
      </c>
    </row>
    <row r="100" spans="1:13" x14ac:dyDescent="0.3">
      <c r="A100" s="35">
        <v>1535</v>
      </c>
      <c r="B100" s="17" t="s">
        <v>195</v>
      </c>
      <c r="C100" s="18" t="s">
        <v>0</v>
      </c>
      <c r="D100" s="19" t="s">
        <v>126</v>
      </c>
      <c r="E100" s="20" t="s">
        <v>127</v>
      </c>
      <c r="F100" s="21" t="s">
        <v>31</v>
      </c>
      <c r="G100" s="21" t="s">
        <v>128</v>
      </c>
      <c r="H100" s="26">
        <v>85</v>
      </c>
      <c r="I100" s="27"/>
      <c r="J100" s="22">
        <v>255</v>
      </c>
      <c r="K100" s="23">
        <f>J100*(1-$H$2)</f>
        <v>102</v>
      </c>
      <c r="L100" s="24">
        <f>K100*I100</f>
        <v>0</v>
      </c>
      <c r="M100" s="25">
        <v>0</v>
      </c>
    </row>
    <row r="101" spans="1:13" x14ac:dyDescent="0.3">
      <c r="A101" s="35">
        <v>1536</v>
      </c>
      <c r="B101" s="39" t="s">
        <v>196</v>
      </c>
      <c r="C101" s="41" t="s">
        <v>0</v>
      </c>
      <c r="D101" s="43" t="s">
        <v>176</v>
      </c>
      <c r="E101" s="49" t="s">
        <v>177</v>
      </c>
      <c r="F101" s="55" t="s">
        <v>24</v>
      </c>
      <c r="G101" s="55" t="s">
        <v>178</v>
      </c>
      <c r="H101" s="57">
        <v>220</v>
      </c>
      <c r="I101" s="61"/>
      <c r="J101" s="63">
        <v>424</v>
      </c>
      <c r="K101" s="65">
        <f>J101*(1-$H$2)</f>
        <v>169.60000000000002</v>
      </c>
      <c r="L101" s="67">
        <f>K101*I101</f>
        <v>0</v>
      </c>
      <c r="M101" s="16">
        <v>1</v>
      </c>
    </row>
    <row r="102" spans="1:13" x14ac:dyDescent="0.3">
      <c r="A102" s="35">
        <v>1537</v>
      </c>
      <c r="B102" s="39" t="s">
        <v>196</v>
      </c>
      <c r="C102" s="41" t="s">
        <v>0</v>
      </c>
      <c r="D102" s="43" t="s">
        <v>179</v>
      </c>
      <c r="E102" s="49" t="s">
        <v>180</v>
      </c>
      <c r="F102" s="55" t="s">
        <v>24</v>
      </c>
      <c r="G102" s="55" t="s">
        <v>181</v>
      </c>
      <c r="H102" s="57">
        <v>113</v>
      </c>
      <c r="I102" s="61"/>
      <c r="J102" s="63">
        <v>424</v>
      </c>
      <c r="K102" s="65">
        <f>J102*(1-$H$2)</f>
        <v>169.60000000000002</v>
      </c>
      <c r="L102" s="67">
        <f>K102*I102</f>
        <v>0</v>
      </c>
      <c r="M102" s="16">
        <v>1</v>
      </c>
    </row>
    <row r="103" spans="1:13" x14ac:dyDescent="0.3">
      <c r="A103" s="35">
        <v>1567</v>
      </c>
      <c r="B103" s="39" t="s">
        <v>197</v>
      </c>
      <c r="C103" s="41" t="s">
        <v>0</v>
      </c>
      <c r="D103" s="43" t="s">
        <v>198</v>
      </c>
      <c r="E103" s="49" t="s">
        <v>199</v>
      </c>
      <c r="F103" s="55" t="s">
        <v>24</v>
      </c>
      <c r="G103" s="55" t="s">
        <v>200</v>
      </c>
      <c r="H103" s="57">
        <v>84</v>
      </c>
      <c r="I103" s="61"/>
      <c r="J103" s="63">
        <v>395</v>
      </c>
      <c r="K103" s="65">
        <f>J103*(1-$H$2)</f>
        <v>158</v>
      </c>
      <c r="L103" s="67">
        <f>K103*I103</f>
        <v>0</v>
      </c>
      <c r="M103" s="16">
        <v>1</v>
      </c>
    </row>
    <row r="104" spans="1:13" x14ac:dyDescent="0.3">
      <c r="A104" s="35">
        <v>1578</v>
      </c>
      <c r="B104" s="39" t="s">
        <v>201</v>
      </c>
      <c r="C104" s="41" t="s">
        <v>0</v>
      </c>
      <c r="D104" s="43" t="s">
        <v>198</v>
      </c>
      <c r="E104" s="49" t="s">
        <v>199</v>
      </c>
      <c r="F104" s="55" t="s">
        <v>24</v>
      </c>
      <c r="G104" s="55" t="s">
        <v>200</v>
      </c>
      <c r="H104" s="57">
        <v>84</v>
      </c>
      <c r="I104" s="61"/>
      <c r="J104" s="63">
        <v>395</v>
      </c>
      <c r="K104" s="65">
        <f>J104*(1-$H$2)</f>
        <v>158</v>
      </c>
      <c r="L104" s="67">
        <f>K104*I104</f>
        <v>0</v>
      </c>
      <c r="M104" s="16">
        <v>1</v>
      </c>
    </row>
    <row r="105" spans="1:13" x14ac:dyDescent="0.3">
      <c r="A105" s="35">
        <v>1582</v>
      </c>
      <c r="B105" s="17" t="s">
        <v>202</v>
      </c>
      <c r="C105" s="18" t="s">
        <v>0</v>
      </c>
      <c r="D105" s="45" t="s">
        <v>198</v>
      </c>
      <c r="E105" s="51" t="s">
        <v>199</v>
      </c>
      <c r="F105" s="21" t="s">
        <v>24</v>
      </c>
      <c r="G105" s="21" t="s">
        <v>200</v>
      </c>
      <c r="H105" s="26">
        <v>84</v>
      </c>
      <c r="I105" s="27"/>
      <c r="J105" s="22">
        <v>395</v>
      </c>
      <c r="K105" s="23">
        <f>J105*(1-$H$2)</f>
        <v>158</v>
      </c>
      <c r="L105" s="24">
        <f>K105*I105</f>
        <v>0</v>
      </c>
      <c r="M105" s="25">
        <v>1</v>
      </c>
    </row>
    <row r="106" spans="1:13" x14ac:dyDescent="0.3">
      <c r="A106" s="35">
        <v>1584</v>
      </c>
      <c r="B106" s="6" t="s">
        <v>203</v>
      </c>
      <c r="C106" s="7" t="s">
        <v>0</v>
      </c>
      <c r="D106" s="8" t="s">
        <v>198</v>
      </c>
      <c r="E106" s="9" t="s">
        <v>199</v>
      </c>
      <c r="F106" s="10" t="s">
        <v>24</v>
      </c>
      <c r="G106" s="10" t="s">
        <v>200</v>
      </c>
      <c r="H106" s="11">
        <v>84</v>
      </c>
      <c r="I106" s="12"/>
      <c r="J106" s="13">
        <v>395</v>
      </c>
      <c r="K106" s="14">
        <f>J106*(1-$H$2)</f>
        <v>158</v>
      </c>
      <c r="L106" s="15">
        <f>K106*I106</f>
        <v>0</v>
      </c>
      <c r="M106" s="16">
        <v>1</v>
      </c>
    </row>
    <row r="107" spans="1:13" x14ac:dyDescent="0.3">
      <c r="A107" s="35">
        <v>1591</v>
      </c>
      <c r="B107" s="39" t="s">
        <v>204</v>
      </c>
      <c r="C107" s="41" t="s">
        <v>0</v>
      </c>
      <c r="D107" s="43" t="s">
        <v>198</v>
      </c>
      <c r="E107" s="49" t="s">
        <v>199</v>
      </c>
      <c r="F107" s="55" t="s">
        <v>24</v>
      </c>
      <c r="G107" s="55" t="s">
        <v>200</v>
      </c>
      <c r="H107" s="57">
        <v>84</v>
      </c>
      <c r="I107" s="61"/>
      <c r="J107" s="63">
        <v>395</v>
      </c>
      <c r="K107" s="65">
        <f>J107*(1-$H$2)</f>
        <v>158</v>
      </c>
      <c r="L107" s="67">
        <f>K107*I107</f>
        <v>0</v>
      </c>
      <c r="M107" s="16">
        <v>1</v>
      </c>
    </row>
    <row r="108" spans="1:13" x14ac:dyDescent="0.3">
      <c r="A108" s="35">
        <v>1592</v>
      </c>
      <c r="B108" s="39" t="s">
        <v>205</v>
      </c>
      <c r="C108" s="41" t="s">
        <v>0</v>
      </c>
      <c r="D108" s="43" t="s">
        <v>198</v>
      </c>
      <c r="E108" s="49" t="s">
        <v>199</v>
      </c>
      <c r="F108" s="55" t="s">
        <v>24</v>
      </c>
      <c r="G108" s="55" t="s">
        <v>200</v>
      </c>
      <c r="H108" s="57">
        <v>84</v>
      </c>
      <c r="I108" s="61"/>
      <c r="J108" s="63">
        <v>395</v>
      </c>
      <c r="K108" s="65">
        <f>J108*(1-$H$2)</f>
        <v>158</v>
      </c>
      <c r="L108" s="67">
        <f>K108*I108</f>
        <v>0</v>
      </c>
      <c r="M108" s="16">
        <v>1</v>
      </c>
    </row>
    <row r="109" spans="1:13" x14ac:dyDescent="0.3">
      <c r="A109" s="35">
        <v>1614</v>
      </c>
      <c r="B109" s="39" t="s">
        <v>206</v>
      </c>
      <c r="C109" s="41" t="s">
        <v>0</v>
      </c>
      <c r="D109" s="43" t="s">
        <v>184</v>
      </c>
      <c r="E109" s="49" t="s">
        <v>185</v>
      </c>
      <c r="F109" s="55" t="s">
        <v>28</v>
      </c>
      <c r="G109" s="55" t="s">
        <v>183</v>
      </c>
      <c r="H109" s="57">
        <v>62</v>
      </c>
      <c r="I109" s="61"/>
      <c r="J109" s="63">
        <v>274</v>
      </c>
      <c r="K109" s="65">
        <f>J109*(1-$H$2)</f>
        <v>109.60000000000001</v>
      </c>
      <c r="L109" s="67">
        <f>K109*I109</f>
        <v>0</v>
      </c>
      <c r="M109" s="16">
        <v>1</v>
      </c>
    </row>
    <row r="110" spans="1:13" x14ac:dyDescent="0.3">
      <c r="A110" s="35">
        <v>1625</v>
      </c>
      <c r="B110" s="39" t="s">
        <v>207</v>
      </c>
      <c r="C110" s="41" t="s">
        <v>0</v>
      </c>
      <c r="D110" s="43" t="s">
        <v>184</v>
      </c>
      <c r="E110" s="49" t="s">
        <v>185</v>
      </c>
      <c r="F110" s="55" t="s">
        <v>28</v>
      </c>
      <c r="G110" s="55" t="s">
        <v>183</v>
      </c>
      <c r="H110" s="57">
        <v>62</v>
      </c>
      <c r="I110" s="61"/>
      <c r="J110" s="63">
        <v>274</v>
      </c>
      <c r="K110" s="65">
        <f>J110*(1-$H$2)</f>
        <v>109.60000000000001</v>
      </c>
      <c r="L110" s="67">
        <f>K110*I110</f>
        <v>0</v>
      </c>
      <c r="M110" s="16">
        <v>1</v>
      </c>
    </row>
    <row r="111" spans="1:13" x14ac:dyDescent="0.3">
      <c r="A111" s="35">
        <v>1627</v>
      </c>
      <c r="B111" s="17" t="s">
        <v>208</v>
      </c>
      <c r="C111" s="18" t="s">
        <v>0</v>
      </c>
      <c r="D111" s="45" t="s">
        <v>144</v>
      </c>
      <c r="E111" s="51" t="s">
        <v>145</v>
      </c>
      <c r="F111" s="21" t="s">
        <v>24</v>
      </c>
      <c r="G111" s="21" t="s">
        <v>146</v>
      </c>
      <c r="H111" s="58">
        <v>80</v>
      </c>
      <c r="I111" s="27"/>
      <c r="J111" s="22">
        <v>344</v>
      </c>
      <c r="K111" s="23">
        <f>J111*(1-$H$2)</f>
        <v>137.6</v>
      </c>
      <c r="L111" s="24">
        <f>K111*I111</f>
        <v>0</v>
      </c>
      <c r="M111" s="25">
        <v>1</v>
      </c>
    </row>
    <row r="112" spans="1:13" x14ac:dyDescent="0.3">
      <c r="A112" s="35">
        <v>1631</v>
      </c>
      <c r="B112" s="17" t="s">
        <v>209</v>
      </c>
      <c r="C112" s="18" t="s">
        <v>0</v>
      </c>
      <c r="D112" s="19" t="s">
        <v>144</v>
      </c>
      <c r="E112" s="20" t="s">
        <v>145</v>
      </c>
      <c r="F112" s="21" t="s">
        <v>24</v>
      </c>
      <c r="G112" s="21" t="s">
        <v>146</v>
      </c>
      <c r="H112" s="58">
        <v>80</v>
      </c>
      <c r="I112" s="27"/>
      <c r="J112" s="22">
        <v>344</v>
      </c>
      <c r="K112" s="23">
        <f>J112*(1-$H$2)</f>
        <v>137.6</v>
      </c>
      <c r="L112" s="24">
        <f>K112*I112</f>
        <v>0</v>
      </c>
      <c r="M112" s="25">
        <v>0</v>
      </c>
    </row>
    <row r="113" spans="1:13" x14ac:dyDescent="0.3">
      <c r="A113" s="35">
        <v>1632</v>
      </c>
      <c r="B113" s="17" t="s">
        <v>209</v>
      </c>
      <c r="C113" s="18" t="s">
        <v>0</v>
      </c>
      <c r="D113" s="19" t="s">
        <v>126</v>
      </c>
      <c r="E113" s="20" t="s">
        <v>127</v>
      </c>
      <c r="F113" s="21" t="s">
        <v>31</v>
      </c>
      <c r="G113" s="21" t="s">
        <v>128</v>
      </c>
      <c r="H113" s="26">
        <v>85</v>
      </c>
      <c r="I113" s="27"/>
      <c r="J113" s="22">
        <v>255</v>
      </c>
      <c r="K113" s="23">
        <f>J113*(1-$H$2)</f>
        <v>102</v>
      </c>
      <c r="L113" s="24">
        <f>K113*I113</f>
        <v>0</v>
      </c>
      <c r="M113" s="25">
        <v>0</v>
      </c>
    </row>
    <row r="114" spans="1:13" x14ac:dyDescent="0.3">
      <c r="A114" s="35">
        <v>1642</v>
      </c>
      <c r="B114" s="6" t="s">
        <v>210</v>
      </c>
      <c r="C114" s="7" t="s">
        <v>0</v>
      </c>
      <c r="D114" s="8" t="s">
        <v>212</v>
      </c>
      <c r="E114" s="9" t="s">
        <v>213</v>
      </c>
      <c r="F114" s="10" t="s">
        <v>31</v>
      </c>
      <c r="G114" s="10" t="s">
        <v>211</v>
      </c>
      <c r="H114" s="11">
        <v>65</v>
      </c>
      <c r="I114" s="12"/>
      <c r="J114" s="13">
        <v>349</v>
      </c>
      <c r="K114" s="14">
        <f>J114*(1-$H$2)</f>
        <v>139.6</v>
      </c>
      <c r="L114" s="15">
        <f>K114*I114</f>
        <v>0</v>
      </c>
      <c r="M114" s="16">
        <v>1</v>
      </c>
    </row>
    <row r="115" spans="1:13" x14ac:dyDescent="0.3">
      <c r="A115" s="35">
        <v>1643</v>
      </c>
      <c r="B115" s="17" t="s">
        <v>210</v>
      </c>
      <c r="C115" s="18" t="s">
        <v>0</v>
      </c>
      <c r="D115" s="44" t="s">
        <v>214</v>
      </c>
      <c r="E115" s="50" t="s">
        <v>215</v>
      </c>
      <c r="F115" s="21" t="s">
        <v>39</v>
      </c>
      <c r="G115" s="21" t="s">
        <v>216</v>
      </c>
      <c r="H115" s="26">
        <v>60</v>
      </c>
      <c r="I115" s="27"/>
      <c r="J115" s="22">
        <v>221</v>
      </c>
      <c r="K115" s="23">
        <f>J115*(1-$H$2)</f>
        <v>88.4</v>
      </c>
      <c r="L115" s="24">
        <f>K115*I115</f>
        <v>0</v>
      </c>
      <c r="M115" s="25">
        <v>0</v>
      </c>
    </row>
    <row r="116" spans="1:13" x14ac:dyDescent="0.3">
      <c r="A116" s="35">
        <v>1660</v>
      </c>
      <c r="B116" s="39" t="s">
        <v>217</v>
      </c>
      <c r="C116" s="41" t="s">
        <v>0</v>
      </c>
      <c r="D116" s="43" t="s">
        <v>144</v>
      </c>
      <c r="E116" s="49" t="s">
        <v>145</v>
      </c>
      <c r="F116" s="55" t="s">
        <v>24</v>
      </c>
      <c r="G116" s="55" t="s">
        <v>146</v>
      </c>
      <c r="H116" s="57">
        <v>80</v>
      </c>
      <c r="I116" s="61"/>
      <c r="J116" s="63">
        <v>344</v>
      </c>
      <c r="K116" s="65">
        <f>J116*(1-$H$2)</f>
        <v>137.6</v>
      </c>
      <c r="L116" s="67">
        <f>K116*I116</f>
        <v>0</v>
      </c>
      <c r="M116" s="16">
        <v>1</v>
      </c>
    </row>
    <row r="117" spans="1:13" x14ac:dyDescent="0.3">
      <c r="A117" s="35">
        <v>1664</v>
      </c>
      <c r="B117" s="39" t="s">
        <v>218</v>
      </c>
      <c r="C117" s="41" t="s">
        <v>0</v>
      </c>
      <c r="D117" s="43" t="s">
        <v>144</v>
      </c>
      <c r="E117" s="49" t="s">
        <v>145</v>
      </c>
      <c r="F117" s="55" t="s">
        <v>24</v>
      </c>
      <c r="G117" s="55" t="s">
        <v>146</v>
      </c>
      <c r="H117" s="57">
        <v>80</v>
      </c>
      <c r="I117" s="61"/>
      <c r="J117" s="63">
        <v>344</v>
      </c>
      <c r="K117" s="65">
        <f>J117*(1-$H$2)</f>
        <v>137.6</v>
      </c>
      <c r="L117" s="67">
        <f>K117*I117</f>
        <v>0</v>
      </c>
      <c r="M117" s="16">
        <v>1</v>
      </c>
    </row>
    <row r="118" spans="1:13" x14ac:dyDescent="0.3">
      <c r="A118" s="35">
        <v>1665</v>
      </c>
      <c r="B118" s="39" t="s">
        <v>218</v>
      </c>
      <c r="C118" s="41" t="s">
        <v>0</v>
      </c>
      <c r="D118" s="43" t="s">
        <v>126</v>
      </c>
      <c r="E118" s="49" t="s">
        <v>127</v>
      </c>
      <c r="F118" s="55" t="s">
        <v>31</v>
      </c>
      <c r="G118" s="55" t="s">
        <v>128</v>
      </c>
      <c r="H118" s="57">
        <v>85</v>
      </c>
      <c r="I118" s="61"/>
      <c r="J118" s="63">
        <v>255</v>
      </c>
      <c r="K118" s="65">
        <f>J118*(1-$H$2)</f>
        <v>102</v>
      </c>
      <c r="L118" s="67">
        <f>K118*I118</f>
        <v>0</v>
      </c>
      <c r="M118" s="16">
        <v>1</v>
      </c>
    </row>
    <row r="119" spans="1:13" x14ac:dyDescent="0.3">
      <c r="A119" s="35">
        <v>1795</v>
      </c>
      <c r="B119" s="39" t="s">
        <v>219</v>
      </c>
      <c r="C119" s="41" t="s">
        <v>0</v>
      </c>
      <c r="D119" s="43" t="s">
        <v>220</v>
      </c>
      <c r="E119" s="49" t="s">
        <v>221</v>
      </c>
      <c r="F119" s="55" t="s">
        <v>24</v>
      </c>
      <c r="G119" s="55" t="s">
        <v>222</v>
      </c>
      <c r="H119" s="57">
        <v>53</v>
      </c>
      <c r="I119" s="61"/>
      <c r="J119" s="63">
        <v>307</v>
      </c>
      <c r="K119" s="65">
        <f>J119*(1-$H$2)</f>
        <v>122.80000000000001</v>
      </c>
      <c r="L119" s="67">
        <f>K119*I119</f>
        <v>0</v>
      </c>
      <c r="M119" s="16">
        <v>1</v>
      </c>
    </row>
    <row r="120" spans="1:13" x14ac:dyDescent="0.3">
      <c r="A120" s="35">
        <v>1817</v>
      </c>
      <c r="B120" s="39" t="s">
        <v>223</v>
      </c>
      <c r="C120" s="41" t="s">
        <v>0</v>
      </c>
      <c r="D120" s="43" t="s">
        <v>224</v>
      </c>
      <c r="E120" s="49" t="s">
        <v>225</v>
      </c>
      <c r="F120" s="55" t="s">
        <v>18</v>
      </c>
      <c r="G120" s="55" t="s">
        <v>226</v>
      </c>
      <c r="H120" s="57">
        <v>200</v>
      </c>
      <c r="I120" s="61"/>
      <c r="J120" s="63">
        <v>535</v>
      </c>
      <c r="K120" s="65">
        <f>J120*(1-$H$2)</f>
        <v>214</v>
      </c>
      <c r="L120" s="67">
        <f>K120*I120</f>
        <v>0</v>
      </c>
      <c r="M120" s="16">
        <v>1</v>
      </c>
    </row>
    <row r="121" spans="1:13" x14ac:dyDescent="0.3">
      <c r="A121" s="35">
        <v>1827</v>
      </c>
      <c r="B121" s="39" t="s">
        <v>227</v>
      </c>
      <c r="C121" s="41" t="s">
        <v>0</v>
      </c>
      <c r="D121" s="43" t="s">
        <v>228</v>
      </c>
      <c r="E121" s="49" t="s">
        <v>229</v>
      </c>
      <c r="F121" s="55" t="s">
        <v>31</v>
      </c>
      <c r="G121" s="55" t="s">
        <v>230</v>
      </c>
      <c r="H121" s="57">
        <v>55</v>
      </c>
      <c r="I121" s="61"/>
      <c r="J121" s="63">
        <v>336</v>
      </c>
      <c r="K121" s="65">
        <f>J121*(1-$H$2)</f>
        <v>134.4</v>
      </c>
      <c r="L121" s="67">
        <f>K121*I121</f>
        <v>0</v>
      </c>
      <c r="M121" s="16">
        <v>1</v>
      </c>
    </row>
    <row r="122" spans="1:13" x14ac:dyDescent="0.3">
      <c r="A122" s="35">
        <v>1839</v>
      </c>
      <c r="B122" s="39" t="s">
        <v>231</v>
      </c>
      <c r="C122" s="41" t="s">
        <v>0</v>
      </c>
      <c r="D122" s="43" t="s">
        <v>228</v>
      </c>
      <c r="E122" s="49" t="s">
        <v>229</v>
      </c>
      <c r="F122" s="55" t="s">
        <v>31</v>
      </c>
      <c r="G122" s="55" t="s">
        <v>230</v>
      </c>
      <c r="H122" s="57">
        <v>55</v>
      </c>
      <c r="I122" s="61"/>
      <c r="J122" s="63">
        <v>336</v>
      </c>
      <c r="K122" s="65">
        <f>J122*(1-$H$2)</f>
        <v>134.4</v>
      </c>
      <c r="L122" s="67">
        <f>K122*I122</f>
        <v>0</v>
      </c>
      <c r="M122" s="16">
        <v>1</v>
      </c>
    </row>
    <row r="123" spans="1:13" x14ac:dyDescent="0.3">
      <c r="A123" s="35">
        <v>1879</v>
      </c>
      <c r="B123" s="39" t="s">
        <v>232</v>
      </c>
      <c r="C123" s="41" t="s">
        <v>0</v>
      </c>
      <c r="D123" s="43" t="s">
        <v>224</v>
      </c>
      <c r="E123" s="49" t="s">
        <v>225</v>
      </c>
      <c r="F123" s="55" t="s">
        <v>18</v>
      </c>
      <c r="G123" s="55" t="s">
        <v>226</v>
      </c>
      <c r="H123" s="57">
        <v>200</v>
      </c>
      <c r="I123" s="61"/>
      <c r="J123" s="63">
        <v>535</v>
      </c>
      <c r="K123" s="65">
        <f>J123*(1-$H$2)</f>
        <v>214</v>
      </c>
      <c r="L123" s="67">
        <f>K123*I123</f>
        <v>0</v>
      </c>
      <c r="M123" s="16">
        <v>1</v>
      </c>
    </row>
    <row r="124" spans="1:13" x14ac:dyDescent="0.3">
      <c r="A124" s="35">
        <v>1906</v>
      </c>
      <c r="B124" s="39" t="s">
        <v>233</v>
      </c>
      <c r="C124" s="41" t="s">
        <v>0</v>
      </c>
      <c r="D124" s="43" t="s">
        <v>224</v>
      </c>
      <c r="E124" s="49" t="s">
        <v>225</v>
      </c>
      <c r="F124" s="55" t="s">
        <v>18</v>
      </c>
      <c r="G124" s="55" t="s">
        <v>226</v>
      </c>
      <c r="H124" s="57">
        <v>200</v>
      </c>
      <c r="I124" s="61"/>
      <c r="J124" s="63">
        <v>535</v>
      </c>
      <c r="K124" s="65">
        <f>J124*(1-$H$2)</f>
        <v>214</v>
      </c>
      <c r="L124" s="67">
        <f>K124*I124</f>
        <v>0</v>
      </c>
      <c r="M124" s="16">
        <v>1</v>
      </c>
    </row>
    <row r="125" spans="1:13" ht="27.6" x14ac:dyDescent="0.3">
      <c r="A125" s="35">
        <v>1972</v>
      </c>
      <c r="B125" s="6" t="s">
        <v>234</v>
      </c>
      <c r="C125" s="7" t="s">
        <v>0</v>
      </c>
      <c r="D125" s="8" t="s">
        <v>220</v>
      </c>
      <c r="E125" s="9" t="s">
        <v>221</v>
      </c>
      <c r="F125" s="10" t="s">
        <v>24</v>
      </c>
      <c r="G125" s="10" t="s">
        <v>222</v>
      </c>
      <c r="H125" s="11">
        <v>53</v>
      </c>
      <c r="I125" s="12"/>
      <c r="J125" s="13">
        <v>307</v>
      </c>
      <c r="K125" s="14">
        <f>J125*(1-$H$2)</f>
        <v>122.80000000000001</v>
      </c>
      <c r="L125" s="15">
        <f>K125*I125</f>
        <v>0</v>
      </c>
      <c r="M125" s="16">
        <v>1</v>
      </c>
    </row>
    <row r="126" spans="1:13" ht="27.6" x14ac:dyDescent="0.3">
      <c r="A126" s="35">
        <v>1973</v>
      </c>
      <c r="B126" s="39" t="s">
        <v>234</v>
      </c>
      <c r="C126" s="41" t="s">
        <v>0</v>
      </c>
      <c r="D126" s="47" t="s">
        <v>236</v>
      </c>
      <c r="E126" s="53" t="s">
        <v>237</v>
      </c>
      <c r="F126" s="55" t="s">
        <v>24</v>
      </c>
      <c r="G126" s="55" t="s">
        <v>235</v>
      </c>
      <c r="H126" s="57">
        <v>68</v>
      </c>
      <c r="I126" s="61"/>
      <c r="J126" s="63">
        <v>358</v>
      </c>
      <c r="K126" s="65">
        <f>J126*(1-$H$2)</f>
        <v>143.20000000000002</v>
      </c>
      <c r="L126" s="67">
        <f>K126*I126</f>
        <v>0</v>
      </c>
      <c r="M126" s="16">
        <v>1</v>
      </c>
    </row>
    <row r="127" spans="1:13" x14ac:dyDescent="0.3">
      <c r="A127" s="35">
        <v>2022</v>
      </c>
      <c r="B127" s="6" t="s">
        <v>238</v>
      </c>
      <c r="C127" s="7" t="s">
        <v>0</v>
      </c>
      <c r="D127" s="8" t="s">
        <v>224</v>
      </c>
      <c r="E127" s="9" t="s">
        <v>225</v>
      </c>
      <c r="F127" s="10" t="s">
        <v>18</v>
      </c>
      <c r="G127" s="10" t="s">
        <v>226</v>
      </c>
      <c r="H127" s="11">
        <v>200</v>
      </c>
      <c r="I127" s="12"/>
      <c r="J127" s="13">
        <v>535</v>
      </c>
      <c r="K127" s="14">
        <f>J127*(1-$H$2)</f>
        <v>214</v>
      </c>
      <c r="L127" s="15">
        <f>K127*I127</f>
        <v>0</v>
      </c>
      <c r="M127" s="16">
        <v>1</v>
      </c>
    </row>
    <row r="128" spans="1:13" x14ac:dyDescent="0.3">
      <c r="A128" s="35">
        <v>2029</v>
      </c>
      <c r="B128" s="39" t="s">
        <v>239</v>
      </c>
      <c r="C128" s="41" t="s">
        <v>0</v>
      </c>
      <c r="D128" s="43" t="s">
        <v>220</v>
      </c>
      <c r="E128" s="49" t="s">
        <v>221</v>
      </c>
      <c r="F128" s="55" t="s">
        <v>24</v>
      </c>
      <c r="G128" s="55" t="s">
        <v>222</v>
      </c>
      <c r="H128" s="57">
        <v>53</v>
      </c>
      <c r="I128" s="61"/>
      <c r="J128" s="63">
        <v>307</v>
      </c>
      <c r="K128" s="65">
        <f>J128*(1-$H$2)</f>
        <v>122.80000000000001</v>
      </c>
      <c r="L128" s="67">
        <f>K128*I128</f>
        <v>0</v>
      </c>
      <c r="M128" s="16">
        <v>1</v>
      </c>
    </row>
    <row r="129" spans="1:13" x14ac:dyDescent="0.3">
      <c r="A129" s="35">
        <v>2056</v>
      </c>
      <c r="B129" s="6" t="s">
        <v>240</v>
      </c>
      <c r="C129" s="7" t="s">
        <v>0</v>
      </c>
      <c r="D129" s="8" t="s">
        <v>228</v>
      </c>
      <c r="E129" s="9" t="s">
        <v>229</v>
      </c>
      <c r="F129" s="10" t="s">
        <v>31</v>
      </c>
      <c r="G129" s="10" t="s">
        <v>230</v>
      </c>
      <c r="H129" s="11">
        <v>55</v>
      </c>
      <c r="I129" s="12"/>
      <c r="J129" s="13">
        <v>336</v>
      </c>
      <c r="K129" s="14">
        <f>J129*(1-$H$2)</f>
        <v>134.4</v>
      </c>
      <c r="L129" s="15">
        <f>K129*I129</f>
        <v>0</v>
      </c>
      <c r="M129" s="16">
        <v>1</v>
      </c>
    </row>
    <row r="130" spans="1:13" x14ac:dyDescent="0.3">
      <c r="A130" s="35">
        <v>2097</v>
      </c>
      <c r="B130" s="17" t="s">
        <v>241</v>
      </c>
      <c r="C130" s="18" t="s">
        <v>0</v>
      </c>
      <c r="D130" s="19" t="s">
        <v>224</v>
      </c>
      <c r="E130" s="20" t="s">
        <v>225</v>
      </c>
      <c r="F130" s="21" t="s">
        <v>18</v>
      </c>
      <c r="G130" s="21" t="s">
        <v>226</v>
      </c>
      <c r="H130" s="26">
        <v>200</v>
      </c>
      <c r="I130" s="27"/>
      <c r="J130" s="22">
        <v>535</v>
      </c>
      <c r="K130" s="23">
        <f>J130*(1-$H$2)</f>
        <v>214</v>
      </c>
      <c r="L130" s="24">
        <f>K130*I130</f>
        <v>0</v>
      </c>
      <c r="M130" s="25">
        <v>0</v>
      </c>
    </row>
    <row r="131" spans="1:13" x14ac:dyDescent="0.3">
      <c r="A131" s="35">
        <v>2150</v>
      </c>
      <c r="B131" s="17" t="s">
        <v>242</v>
      </c>
      <c r="C131" s="18" t="s">
        <v>0</v>
      </c>
      <c r="D131" s="19" t="s">
        <v>243</v>
      </c>
      <c r="E131" s="20" t="s">
        <v>244</v>
      </c>
      <c r="F131" s="21" t="s">
        <v>18</v>
      </c>
      <c r="G131" s="21" t="s">
        <v>245</v>
      </c>
      <c r="H131" s="26">
        <v>57</v>
      </c>
      <c r="I131" s="27"/>
      <c r="J131" s="22">
        <v>372</v>
      </c>
      <c r="K131" s="23">
        <f>J131*(1-$H$2)</f>
        <v>148.80000000000001</v>
      </c>
      <c r="L131" s="24">
        <f>K131*I131</f>
        <v>0</v>
      </c>
      <c r="M131" s="25">
        <v>0</v>
      </c>
    </row>
    <row r="132" spans="1:13" x14ac:dyDescent="0.3">
      <c r="A132" s="35">
        <v>2152</v>
      </c>
      <c r="B132" s="39" t="s">
        <v>242</v>
      </c>
      <c r="C132" s="41" t="s">
        <v>0</v>
      </c>
      <c r="D132" s="43" t="s">
        <v>246</v>
      </c>
      <c r="E132" s="49" t="s">
        <v>247</v>
      </c>
      <c r="F132" s="55" t="s">
        <v>31</v>
      </c>
      <c r="G132" s="55" t="s">
        <v>245</v>
      </c>
      <c r="H132" s="57">
        <v>65</v>
      </c>
      <c r="I132" s="61"/>
      <c r="J132" s="63">
        <v>302</v>
      </c>
      <c r="K132" s="65">
        <f>J132*(1-$H$2)</f>
        <v>120.80000000000001</v>
      </c>
      <c r="L132" s="67">
        <f>K132*I132</f>
        <v>0</v>
      </c>
      <c r="M132" s="16">
        <v>1</v>
      </c>
    </row>
    <row r="133" spans="1:13" x14ac:dyDescent="0.3">
      <c r="A133" s="35">
        <v>2156</v>
      </c>
      <c r="B133" s="39" t="s">
        <v>248</v>
      </c>
      <c r="C133" s="41" t="s">
        <v>0</v>
      </c>
      <c r="D133" s="43" t="s">
        <v>159</v>
      </c>
      <c r="E133" s="49" t="s">
        <v>160</v>
      </c>
      <c r="F133" s="55" t="s">
        <v>18</v>
      </c>
      <c r="G133" s="55" t="s">
        <v>161</v>
      </c>
      <c r="H133" s="57">
        <v>597</v>
      </c>
      <c r="I133" s="61"/>
      <c r="J133" s="63">
        <v>335</v>
      </c>
      <c r="K133" s="65">
        <f>J133*(1-$H$2)</f>
        <v>134</v>
      </c>
      <c r="L133" s="67">
        <f>K133*I133</f>
        <v>0</v>
      </c>
      <c r="M133" s="16">
        <v>1</v>
      </c>
    </row>
    <row r="134" spans="1:13" ht="27.6" x14ac:dyDescent="0.3">
      <c r="A134" s="35">
        <v>2217</v>
      </c>
      <c r="B134" s="39" t="s">
        <v>249</v>
      </c>
      <c r="C134" s="41" t="s">
        <v>0</v>
      </c>
      <c r="D134" s="43" t="s">
        <v>140</v>
      </c>
      <c r="E134" s="49" t="s">
        <v>141</v>
      </c>
      <c r="F134" s="55" t="s">
        <v>18</v>
      </c>
      <c r="G134" s="55" t="s">
        <v>142</v>
      </c>
      <c r="H134" s="57">
        <v>80</v>
      </c>
      <c r="I134" s="61"/>
      <c r="J134" s="63">
        <v>428</v>
      </c>
      <c r="K134" s="65">
        <f>J134*(1-$H$2)</f>
        <v>171.20000000000002</v>
      </c>
      <c r="L134" s="67">
        <f>K134*I134</f>
        <v>0</v>
      </c>
      <c r="M134" s="16">
        <v>1</v>
      </c>
    </row>
    <row r="135" spans="1:13" x14ac:dyDescent="0.3">
      <c r="A135" s="35">
        <v>2248</v>
      </c>
      <c r="B135" s="39" t="s">
        <v>250</v>
      </c>
      <c r="C135" s="41" t="s">
        <v>0</v>
      </c>
      <c r="D135" s="43" t="s">
        <v>102</v>
      </c>
      <c r="E135" s="49" t="s">
        <v>103</v>
      </c>
      <c r="F135" s="55" t="s">
        <v>20</v>
      </c>
      <c r="G135" s="55" t="s">
        <v>101</v>
      </c>
      <c r="H135" s="57">
        <v>75</v>
      </c>
      <c r="I135" s="61"/>
      <c r="J135" s="63">
        <v>1931</v>
      </c>
      <c r="K135" s="65">
        <f>J135*(1-$H$2)</f>
        <v>772.40000000000009</v>
      </c>
      <c r="L135" s="67">
        <f>K135*I135</f>
        <v>0</v>
      </c>
      <c r="M135" s="16">
        <v>1</v>
      </c>
    </row>
    <row r="136" spans="1:13" x14ac:dyDescent="0.3">
      <c r="A136" s="35">
        <v>2249</v>
      </c>
      <c r="B136" s="17" t="s">
        <v>250</v>
      </c>
      <c r="C136" s="18" t="s">
        <v>0</v>
      </c>
      <c r="D136" s="19" t="s">
        <v>104</v>
      </c>
      <c r="E136" s="20" t="s">
        <v>105</v>
      </c>
      <c r="F136" s="21" t="s">
        <v>20</v>
      </c>
      <c r="G136" s="21" t="s">
        <v>101</v>
      </c>
      <c r="H136" s="26">
        <v>75</v>
      </c>
      <c r="I136" s="27"/>
      <c r="J136" s="22">
        <v>1931</v>
      </c>
      <c r="K136" s="23">
        <f>J136*(1-$H$2)</f>
        <v>772.40000000000009</v>
      </c>
      <c r="L136" s="24">
        <f>K136*I136</f>
        <v>0</v>
      </c>
      <c r="M136" s="25">
        <v>0</v>
      </c>
    </row>
    <row r="137" spans="1:13" x14ac:dyDescent="0.3">
      <c r="A137" s="35">
        <v>2250</v>
      </c>
      <c r="B137" s="17" t="s">
        <v>250</v>
      </c>
      <c r="C137" s="18" t="s">
        <v>0</v>
      </c>
      <c r="D137" s="19" t="s">
        <v>106</v>
      </c>
      <c r="E137" s="20" t="s">
        <v>107</v>
      </c>
      <c r="F137" s="21" t="s">
        <v>24</v>
      </c>
      <c r="G137" s="21" t="s">
        <v>101</v>
      </c>
      <c r="H137" s="26">
        <v>178</v>
      </c>
      <c r="I137" s="27"/>
      <c r="J137" s="22">
        <v>340</v>
      </c>
      <c r="K137" s="23">
        <f>J137*(1-$H$2)</f>
        <v>136</v>
      </c>
      <c r="L137" s="24">
        <f>K137*I137</f>
        <v>0</v>
      </c>
      <c r="M137" s="25">
        <v>0</v>
      </c>
    </row>
    <row r="138" spans="1:13" x14ac:dyDescent="0.3">
      <c r="A138" s="35">
        <v>2257</v>
      </c>
      <c r="B138" s="17" t="s">
        <v>251</v>
      </c>
      <c r="C138" s="18" t="s">
        <v>0</v>
      </c>
      <c r="D138" s="19" t="s">
        <v>159</v>
      </c>
      <c r="E138" s="20" t="s">
        <v>160</v>
      </c>
      <c r="F138" s="21" t="s">
        <v>18</v>
      </c>
      <c r="G138" s="21" t="s">
        <v>161</v>
      </c>
      <c r="H138" s="26">
        <v>597</v>
      </c>
      <c r="I138" s="27"/>
      <c r="J138" s="22">
        <v>335</v>
      </c>
      <c r="K138" s="23">
        <f>J138*(1-$H$2)</f>
        <v>134</v>
      </c>
      <c r="L138" s="24">
        <f>K138*I138</f>
        <v>0</v>
      </c>
      <c r="M138" s="25">
        <v>0</v>
      </c>
    </row>
    <row r="139" spans="1:13" x14ac:dyDescent="0.3">
      <c r="A139" s="35">
        <v>2263</v>
      </c>
      <c r="B139" s="39" t="s">
        <v>252</v>
      </c>
      <c r="C139" s="41" t="s">
        <v>0</v>
      </c>
      <c r="D139" s="43" t="s">
        <v>159</v>
      </c>
      <c r="E139" s="49" t="s">
        <v>160</v>
      </c>
      <c r="F139" s="55" t="s">
        <v>18</v>
      </c>
      <c r="G139" s="55" t="s">
        <v>161</v>
      </c>
      <c r="H139" s="57">
        <v>597</v>
      </c>
      <c r="I139" s="61"/>
      <c r="J139" s="63">
        <v>335</v>
      </c>
      <c r="K139" s="65">
        <f>J139*(1-$H$2)</f>
        <v>134</v>
      </c>
      <c r="L139" s="67">
        <f>K139*I139</f>
        <v>0</v>
      </c>
      <c r="M139" s="16">
        <v>1</v>
      </c>
    </row>
    <row r="140" spans="1:13" x14ac:dyDescent="0.3">
      <c r="A140" s="35">
        <v>2292</v>
      </c>
      <c r="B140" s="39" t="s">
        <v>253</v>
      </c>
      <c r="C140" s="41" t="s">
        <v>0</v>
      </c>
      <c r="D140" s="43" t="s">
        <v>159</v>
      </c>
      <c r="E140" s="49" t="s">
        <v>160</v>
      </c>
      <c r="F140" s="55" t="s">
        <v>18</v>
      </c>
      <c r="G140" s="55" t="s">
        <v>161</v>
      </c>
      <c r="H140" s="57">
        <v>597</v>
      </c>
      <c r="I140" s="61"/>
      <c r="J140" s="63">
        <v>335</v>
      </c>
      <c r="K140" s="65">
        <f>J140*(1-$H$2)</f>
        <v>134</v>
      </c>
      <c r="L140" s="67">
        <f>K140*I140</f>
        <v>0</v>
      </c>
      <c r="M140" s="16">
        <v>1</v>
      </c>
    </row>
    <row r="141" spans="1:13" x14ac:dyDescent="0.3">
      <c r="A141" s="35">
        <v>2306</v>
      </c>
      <c r="B141" s="39" t="s">
        <v>254</v>
      </c>
      <c r="C141" s="41" t="s">
        <v>0</v>
      </c>
      <c r="D141" s="43" t="s">
        <v>159</v>
      </c>
      <c r="E141" s="49" t="s">
        <v>160</v>
      </c>
      <c r="F141" s="55" t="s">
        <v>18</v>
      </c>
      <c r="G141" s="55" t="s">
        <v>161</v>
      </c>
      <c r="H141" s="57">
        <v>597</v>
      </c>
      <c r="I141" s="61"/>
      <c r="J141" s="63">
        <v>335</v>
      </c>
      <c r="K141" s="65">
        <f>J141*(1-$H$2)</f>
        <v>134</v>
      </c>
      <c r="L141" s="67">
        <f>K141*I141</f>
        <v>0</v>
      </c>
      <c r="M141" s="16">
        <v>1</v>
      </c>
    </row>
    <row r="142" spans="1:13" x14ac:dyDescent="0.3">
      <c r="A142" s="35">
        <v>2318</v>
      </c>
      <c r="B142" s="39" t="s">
        <v>255</v>
      </c>
      <c r="C142" s="41" t="s">
        <v>0</v>
      </c>
      <c r="D142" s="43" t="s">
        <v>159</v>
      </c>
      <c r="E142" s="49" t="s">
        <v>160</v>
      </c>
      <c r="F142" s="55" t="s">
        <v>18</v>
      </c>
      <c r="G142" s="55" t="s">
        <v>161</v>
      </c>
      <c r="H142" s="57">
        <v>597</v>
      </c>
      <c r="I142" s="61"/>
      <c r="J142" s="63">
        <v>335</v>
      </c>
      <c r="K142" s="65">
        <f>J142*(1-$H$2)</f>
        <v>134</v>
      </c>
      <c r="L142" s="67">
        <f>K142*I142</f>
        <v>0</v>
      </c>
      <c r="M142" s="16">
        <v>1</v>
      </c>
    </row>
    <row r="143" spans="1:13" x14ac:dyDescent="0.3">
      <c r="A143" s="35">
        <v>2321</v>
      </c>
      <c r="B143" s="39" t="s">
        <v>256</v>
      </c>
      <c r="C143" s="41" t="s">
        <v>0</v>
      </c>
      <c r="D143" s="43" t="s">
        <v>159</v>
      </c>
      <c r="E143" s="49" t="s">
        <v>160</v>
      </c>
      <c r="F143" s="55" t="s">
        <v>18</v>
      </c>
      <c r="G143" s="55" t="s">
        <v>161</v>
      </c>
      <c r="H143" s="57">
        <v>597</v>
      </c>
      <c r="I143" s="61"/>
      <c r="J143" s="63">
        <v>335</v>
      </c>
      <c r="K143" s="65">
        <f>J143*(1-$H$2)</f>
        <v>134</v>
      </c>
      <c r="L143" s="67">
        <f>K143*I143</f>
        <v>0</v>
      </c>
      <c r="M143" s="16">
        <v>1</v>
      </c>
    </row>
    <row r="144" spans="1:13" x14ac:dyDescent="0.3">
      <c r="A144" s="35">
        <v>2334</v>
      </c>
      <c r="B144" s="39" t="s">
        <v>257</v>
      </c>
      <c r="C144" s="41" t="s">
        <v>0</v>
      </c>
      <c r="D144" s="43" t="s">
        <v>140</v>
      </c>
      <c r="E144" s="49" t="s">
        <v>141</v>
      </c>
      <c r="F144" s="55" t="s">
        <v>18</v>
      </c>
      <c r="G144" s="55" t="s">
        <v>142</v>
      </c>
      <c r="H144" s="57">
        <v>80</v>
      </c>
      <c r="I144" s="61"/>
      <c r="J144" s="63">
        <v>428</v>
      </c>
      <c r="K144" s="65">
        <f>J144*(1-$H$2)</f>
        <v>171.20000000000002</v>
      </c>
      <c r="L144" s="67">
        <f>K144*I144</f>
        <v>0</v>
      </c>
      <c r="M144" s="16">
        <v>1</v>
      </c>
    </row>
    <row r="145" spans="1:13" x14ac:dyDescent="0.3">
      <c r="A145" s="35">
        <v>2349</v>
      </c>
      <c r="B145" s="39" t="s">
        <v>258</v>
      </c>
      <c r="C145" s="41" t="s">
        <v>0</v>
      </c>
      <c r="D145" s="43" t="s">
        <v>71</v>
      </c>
      <c r="E145" s="49" t="s">
        <v>72</v>
      </c>
      <c r="F145" s="55" t="s">
        <v>18</v>
      </c>
      <c r="G145" s="55" t="s">
        <v>73</v>
      </c>
      <c r="H145" s="57">
        <v>96</v>
      </c>
      <c r="I145" s="61"/>
      <c r="J145" s="63">
        <v>322</v>
      </c>
      <c r="K145" s="65">
        <f>J145*(1-$H$2)</f>
        <v>128.80000000000001</v>
      </c>
      <c r="L145" s="67">
        <f>K145*I145</f>
        <v>0</v>
      </c>
      <c r="M145" s="16">
        <v>1</v>
      </c>
    </row>
    <row r="146" spans="1:13" x14ac:dyDescent="0.3">
      <c r="A146" s="35">
        <v>2350</v>
      </c>
      <c r="B146" s="39" t="s">
        <v>259</v>
      </c>
      <c r="C146" s="41" t="s">
        <v>0</v>
      </c>
      <c r="D146" s="43" t="s">
        <v>260</v>
      </c>
      <c r="E146" s="49" t="s">
        <v>261</v>
      </c>
      <c r="F146" s="55" t="s">
        <v>18</v>
      </c>
      <c r="G146" s="55" t="s">
        <v>262</v>
      </c>
      <c r="H146" s="57">
        <v>283</v>
      </c>
      <c r="I146" s="61"/>
      <c r="J146" s="63">
        <v>476</v>
      </c>
      <c r="K146" s="65">
        <f>J146*(1-$H$2)</f>
        <v>190.4</v>
      </c>
      <c r="L146" s="67">
        <f>K146*I146</f>
        <v>0</v>
      </c>
      <c r="M146" s="16">
        <v>1</v>
      </c>
    </row>
    <row r="147" spans="1:13" x14ac:dyDescent="0.3">
      <c r="A147" s="35">
        <v>2440</v>
      </c>
      <c r="B147" s="39" t="s">
        <v>263</v>
      </c>
      <c r="C147" s="41" t="s">
        <v>0</v>
      </c>
      <c r="D147" s="43" t="s">
        <v>140</v>
      </c>
      <c r="E147" s="49" t="s">
        <v>141</v>
      </c>
      <c r="F147" s="55" t="s">
        <v>18</v>
      </c>
      <c r="G147" s="55" t="s">
        <v>142</v>
      </c>
      <c r="H147" s="57">
        <v>80</v>
      </c>
      <c r="I147" s="61"/>
      <c r="J147" s="63">
        <v>428</v>
      </c>
      <c r="K147" s="65">
        <f>J147*(1-$H$2)</f>
        <v>171.20000000000002</v>
      </c>
      <c r="L147" s="67">
        <f>K147*I147</f>
        <v>0</v>
      </c>
      <c r="M147" s="16">
        <v>1</v>
      </c>
    </row>
    <row r="148" spans="1:13" ht="27.6" x14ac:dyDescent="0.3">
      <c r="A148" s="35">
        <v>2461</v>
      </c>
      <c r="B148" s="39" t="s">
        <v>264</v>
      </c>
      <c r="C148" s="41" t="s">
        <v>0</v>
      </c>
      <c r="D148" s="43" t="s">
        <v>140</v>
      </c>
      <c r="E148" s="49" t="s">
        <v>141</v>
      </c>
      <c r="F148" s="55" t="s">
        <v>18</v>
      </c>
      <c r="G148" s="55" t="s">
        <v>142</v>
      </c>
      <c r="H148" s="57">
        <v>80</v>
      </c>
      <c r="I148" s="61"/>
      <c r="J148" s="63">
        <v>428</v>
      </c>
      <c r="K148" s="65">
        <f>J148*(1-$H$2)</f>
        <v>171.20000000000002</v>
      </c>
      <c r="L148" s="67">
        <f>K148*I148</f>
        <v>0</v>
      </c>
      <c r="M148" s="16">
        <v>1</v>
      </c>
    </row>
    <row r="149" spans="1:13" ht="27.6" x14ac:dyDescent="0.3">
      <c r="A149" s="35">
        <v>2468</v>
      </c>
      <c r="B149" s="39" t="s">
        <v>265</v>
      </c>
      <c r="C149" s="41" t="s">
        <v>0</v>
      </c>
      <c r="D149" s="43" t="s">
        <v>140</v>
      </c>
      <c r="E149" s="49" t="s">
        <v>141</v>
      </c>
      <c r="F149" s="55" t="s">
        <v>18</v>
      </c>
      <c r="G149" s="55" t="s">
        <v>142</v>
      </c>
      <c r="H149" s="57">
        <v>80</v>
      </c>
      <c r="I149" s="61"/>
      <c r="J149" s="63">
        <v>428</v>
      </c>
      <c r="K149" s="65">
        <f>J149*(1-$H$2)</f>
        <v>171.20000000000002</v>
      </c>
      <c r="L149" s="67">
        <f>K149*I149</f>
        <v>0</v>
      </c>
      <c r="M149" s="16">
        <v>1</v>
      </c>
    </row>
    <row r="150" spans="1:13" x14ac:dyDescent="0.3">
      <c r="A150" s="35">
        <v>2495</v>
      </c>
      <c r="B150" s="17" t="s">
        <v>266</v>
      </c>
      <c r="C150" s="18" t="s">
        <v>0</v>
      </c>
      <c r="D150" s="19" t="s">
        <v>37</v>
      </c>
      <c r="E150" s="20" t="s">
        <v>38</v>
      </c>
      <c r="F150" s="21" t="s">
        <v>39</v>
      </c>
      <c r="G150" s="21" t="s">
        <v>36</v>
      </c>
      <c r="H150" s="26">
        <v>136</v>
      </c>
      <c r="I150" s="27"/>
      <c r="J150" s="22">
        <v>269</v>
      </c>
      <c r="K150" s="23">
        <f>J150*(1-$H$2)</f>
        <v>107.60000000000001</v>
      </c>
      <c r="L150" s="24">
        <f>K150*I150</f>
        <v>0</v>
      </c>
      <c r="M150" s="25">
        <v>0</v>
      </c>
    </row>
    <row r="151" spans="1:13" x14ac:dyDescent="0.3">
      <c r="A151" s="35">
        <v>2496</v>
      </c>
      <c r="B151" s="39" t="s">
        <v>266</v>
      </c>
      <c r="C151" s="41" t="s">
        <v>0</v>
      </c>
      <c r="D151" s="43" t="s">
        <v>40</v>
      </c>
      <c r="E151" s="49" t="s">
        <v>41</v>
      </c>
      <c r="F151" s="55" t="s">
        <v>39</v>
      </c>
      <c r="G151" s="55" t="s">
        <v>36</v>
      </c>
      <c r="H151" s="57">
        <v>129</v>
      </c>
      <c r="I151" s="61"/>
      <c r="J151" s="63">
        <v>140</v>
      </c>
      <c r="K151" s="65">
        <f>J151*(1-$H$2)</f>
        <v>56</v>
      </c>
      <c r="L151" s="67">
        <f>K151*I151</f>
        <v>0</v>
      </c>
      <c r="M151" s="16">
        <v>1</v>
      </c>
    </row>
    <row r="152" spans="1:13" x14ac:dyDescent="0.3">
      <c r="A152" s="35">
        <v>2502</v>
      </c>
      <c r="B152" s="39" t="s">
        <v>267</v>
      </c>
      <c r="C152" s="41" t="s">
        <v>0</v>
      </c>
      <c r="D152" s="43" t="s">
        <v>260</v>
      </c>
      <c r="E152" s="49" t="s">
        <v>261</v>
      </c>
      <c r="F152" s="55" t="s">
        <v>18</v>
      </c>
      <c r="G152" s="55" t="s">
        <v>262</v>
      </c>
      <c r="H152" s="57">
        <v>283</v>
      </c>
      <c r="I152" s="61"/>
      <c r="J152" s="63">
        <v>476</v>
      </c>
      <c r="K152" s="65">
        <f>J152*(1-$H$2)</f>
        <v>190.4</v>
      </c>
      <c r="L152" s="67">
        <f>K152*I152</f>
        <v>0</v>
      </c>
      <c r="M152" s="16">
        <v>1</v>
      </c>
    </row>
    <row r="153" spans="1:13" x14ac:dyDescent="0.3">
      <c r="A153" s="35">
        <v>2504</v>
      </c>
      <c r="B153" s="17" t="s">
        <v>268</v>
      </c>
      <c r="C153" s="18" t="s">
        <v>0</v>
      </c>
      <c r="D153" s="19" t="s">
        <v>260</v>
      </c>
      <c r="E153" s="20" t="s">
        <v>261</v>
      </c>
      <c r="F153" s="21" t="s">
        <v>18</v>
      </c>
      <c r="G153" s="21" t="s">
        <v>262</v>
      </c>
      <c r="H153" s="26">
        <v>283</v>
      </c>
      <c r="I153" s="27"/>
      <c r="J153" s="22">
        <v>476</v>
      </c>
      <c r="K153" s="23">
        <f>J153*(1-$H$2)</f>
        <v>190.4</v>
      </c>
      <c r="L153" s="24">
        <f>K153*I153</f>
        <v>0</v>
      </c>
      <c r="M153" s="25">
        <v>0</v>
      </c>
    </row>
    <row r="154" spans="1:13" x14ac:dyDescent="0.3">
      <c r="A154" s="35">
        <v>2531</v>
      </c>
      <c r="B154" s="17" t="s">
        <v>269</v>
      </c>
      <c r="C154" s="18" t="s">
        <v>0</v>
      </c>
      <c r="D154" s="19" t="s">
        <v>159</v>
      </c>
      <c r="E154" s="20" t="s">
        <v>160</v>
      </c>
      <c r="F154" s="21" t="s">
        <v>18</v>
      </c>
      <c r="G154" s="21" t="s">
        <v>161</v>
      </c>
      <c r="H154" s="26">
        <v>597</v>
      </c>
      <c r="I154" s="27"/>
      <c r="J154" s="22">
        <v>335</v>
      </c>
      <c r="K154" s="23">
        <f>J154*(1-$H$2)</f>
        <v>134</v>
      </c>
      <c r="L154" s="24">
        <f>K154*I154</f>
        <v>0</v>
      </c>
      <c r="M154" s="25">
        <v>0</v>
      </c>
    </row>
    <row r="155" spans="1:13" x14ac:dyDescent="0.3">
      <c r="A155" s="35">
        <v>2532</v>
      </c>
      <c r="B155" s="40" t="s">
        <v>270</v>
      </c>
      <c r="C155" s="42" t="s">
        <v>0</v>
      </c>
      <c r="D155" s="46" t="s">
        <v>260</v>
      </c>
      <c r="E155" s="52" t="s">
        <v>261</v>
      </c>
      <c r="F155" s="56" t="s">
        <v>18</v>
      </c>
      <c r="G155" s="56" t="s">
        <v>262</v>
      </c>
      <c r="H155" s="59">
        <v>283</v>
      </c>
      <c r="I155" s="62"/>
      <c r="J155" s="64">
        <v>476</v>
      </c>
      <c r="K155" s="66">
        <f>J155*(1-$H$2)</f>
        <v>190.4</v>
      </c>
      <c r="L155" s="68">
        <f>K155*I155</f>
        <v>0</v>
      </c>
      <c r="M155" s="25">
        <v>0</v>
      </c>
    </row>
    <row r="156" spans="1:13" x14ac:dyDescent="0.3">
      <c r="A156" s="35">
        <v>2547</v>
      </c>
      <c r="B156" s="39" t="s">
        <v>271</v>
      </c>
      <c r="C156" s="41" t="s">
        <v>0</v>
      </c>
      <c r="D156" s="43" t="s">
        <v>159</v>
      </c>
      <c r="E156" s="49" t="s">
        <v>160</v>
      </c>
      <c r="F156" s="55" t="s">
        <v>18</v>
      </c>
      <c r="G156" s="55" t="s">
        <v>161</v>
      </c>
      <c r="H156" s="57">
        <v>597</v>
      </c>
      <c r="I156" s="61"/>
      <c r="J156" s="63">
        <v>335</v>
      </c>
      <c r="K156" s="65">
        <f>J156*(1-$H$2)</f>
        <v>134</v>
      </c>
      <c r="L156" s="67">
        <f>K156*I156</f>
        <v>0</v>
      </c>
      <c r="M156" s="16">
        <v>1</v>
      </c>
    </row>
    <row r="157" spans="1:13" x14ac:dyDescent="0.3">
      <c r="A157" s="35">
        <v>2554</v>
      </c>
      <c r="B157" s="17" t="s">
        <v>272</v>
      </c>
      <c r="C157" s="18" t="s">
        <v>0</v>
      </c>
      <c r="D157" s="19" t="s">
        <v>159</v>
      </c>
      <c r="E157" s="20" t="s">
        <v>160</v>
      </c>
      <c r="F157" s="21" t="s">
        <v>18</v>
      </c>
      <c r="G157" s="21" t="s">
        <v>161</v>
      </c>
      <c r="H157" s="58">
        <v>597</v>
      </c>
      <c r="I157" s="27"/>
      <c r="J157" s="22">
        <v>335</v>
      </c>
      <c r="K157" s="23">
        <f>J157*(1-$H$2)</f>
        <v>134</v>
      </c>
      <c r="L157" s="24">
        <f>K157*I157</f>
        <v>0</v>
      </c>
      <c r="M157" s="25">
        <v>0</v>
      </c>
    </row>
    <row r="158" spans="1:13" x14ac:dyDescent="0.3">
      <c r="A158" s="35">
        <v>2557</v>
      </c>
      <c r="B158" s="39" t="s">
        <v>273</v>
      </c>
      <c r="C158" s="41" t="s">
        <v>0</v>
      </c>
      <c r="D158" s="43" t="s">
        <v>260</v>
      </c>
      <c r="E158" s="49" t="s">
        <v>261</v>
      </c>
      <c r="F158" s="55" t="s">
        <v>18</v>
      </c>
      <c r="G158" s="55" t="s">
        <v>262</v>
      </c>
      <c r="H158" s="57">
        <v>283</v>
      </c>
      <c r="I158" s="61"/>
      <c r="J158" s="63">
        <v>476</v>
      </c>
      <c r="K158" s="65">
        <f>J158*(1-$H$2)</f>
        <v>190.4</v>
      </c>
      <c r="L158" s="67">
        <f>K158*I158</f>
        <v>0</v>
      </c>
      <c r="M158" s="16">
        <v>1</v>
      </c>
    </row>
    <row r="159" spans="1:13" x14ac:dyDescent="0.3">
      <c r="A159" s="35">
        <v>2559</v>
      </c>
      <c r="B159" s="39" t="s">
        <v>274</v>
      </c>
      <c r="C159" s="41" t="s">
        <v>0</v>
      </c>
      <c r="D159" s="43" t="s">
        <v>159</v>
      </c>
      <c r="E159" s="49" t="s">
        <v>160</v>
      </c>
      <c r="F159" s="55" t="s">
        <v>18</v>
      </c>
      <c r="G159" s="55" t="s">
        <v>161</v>
      </c>
      <c r="H159" s="57">
        <v>597</v>
      </c>
      <c r="I159" s="61"/>
      <c r="J159" s="63">
        <v>335</v>
      </c>
      <c r="K159" s="65">
        <f>J159*(1-$H$2)</f>
        <v>134</v>
      </c>
      <c r="L159" s="67">
        <f>K159*I159</f>
        <v>0</v>
      </c>
      <c r="M159" s="16">
        <v>1</v>
      </c>
    </row>
    <row r="160" spans="1:13" x14ac:dyDescent="0.3">
      <c r="A160" s="35">
        <v>2585</v>
      </c>
      <c r="B160" s="39" t="s">
        <v>275</v>
      </c>
      <c r="C160" s="41" t="s">
        <v>0</v>
      </c>
      <c r="D160" s="43" t="s">
        <v>159</v>
      </c>
      <c r="E160" s="49" t="s">
        <v>160</v>
      </c>
      <c r="F160" s="55" t="s">
        <v>18</v>
      </c>
      <c r="G160" s="55" t="s">
        <v>161</v>
      </c>
      <c r="H160" s="57">
        <v>597</v>
      </c>
      <c r="I160" s="61"/>
      <c r="J160" s="63">
        <v>335</v>
      </c>
      <c r="K160" s="65">
        <f>J160*(1-$H$2)</f>
        <v>134</v>
      </c>
      <c r="L160" s="67">
        <f>K160*I160</f>
        <v>0</v>
      </c>
      <c r="M160" s="16">
        <v>1</v>
      </c>
    </row>
    <row r="161" spans="1:13" x14ac:dyDescent="0.3">
      <c r="A161" s="35">
        <v>2603</v>
      </c>
      <c r="B161" s="39" t="s">
        <v>276</v>
      </c>
      <c r="C161" s="41" t="s">
        <v>0</v>
      </c>
      <c r="D161" s="43" t="s">
        <v>130</v>
      </c>
      <c r="E161" s="49" t="s">
        <v>131</v>
      </c>
      <c r="F161" s="55" t="s">
        <v>28</v>
      </c>
      <c r="G161" s="55" t="s">
        <v>132</v>
      </c>
      <c r="H161" s="57">
        <v>53</v>
      </c>
      <c r="I161" s="61"/>
      <c r="J161" s="63">
        <v>295</v>
      </c>
      <c r="K161" s="65">
        <f>J161*(1-$H$2)</f>
        <v>118</v>
      </c>
      <c r="L161" s="67">
        <f>K161*I161</f>
        <v>0</v>
      </c>
      <c r="M161" s="16">
        <v>1</v>
      </c>
    </row>
    <row r="162" spans="1:13" x14ac:dyDescent="0.3">
      <c r="A162" s="35">
        <v>2623</v>
      </c>
      <c r="B162" s="17" t="s">
        <v>277</v>
      </c>
      <c r="C162" s="18" t="s">
        <v>0</v>
      </c>
      <c r="D162" s="45" t="s">
        <v>159</v>
      </c>
      <c r="E162" s="51" t="s">
        <v>160</v>
      </c>
      <c r="F162" s="21" t="s">
        <v>18</v>
      </c>
      <c r="G162" s="21" t="s">
        <v>161</v>
      </c>
      <c r="H162" s="58">
        <v>597</v>
      </c>
      <c r="I162" s="27"/>
      <c r="J162" s="22">
        <v>335</v>
      </c>
      <c r="K162" s="23">
        <f>J162*(1-$H$2)</f>
        <v>134</v>
      </c>
      <c r="L162" s="24">
        <f>K162*I162</f>
        <v>0</v>
      </c>
      <c r="M162" s="25">
        <v>1</v>
      </c>
    </row>
    <row r="163" spans="1:13" x14ac:dyDescent="0.3">
      <c r="A163" s="35">
        <v>2631</v>
      </c>
      <c r="B163" s="17" t="s">
        <v>278</v>
      </c>
      <c r="C163" s="18" t="s">
        <v>0</v>
      </c>
      <c r="D163" s="45" t="s">
        <v>159</v>
      </c>
      <c r="E163" s="51" t="s">
        <v>160</v>
      </c>
      <c r="F163" s="21" t="s">
        <v>18</v>
      </c>
      <c r="G163" s="21" t="s">
        <v>161</v>
      </c>
      <c r="H163" s="58">
        <v>597</v>
      </c>
      <c r="I163" s="27"/>
      <c r="J163" s="22">
        <v>335</v>
      </c>
      <c r="K163" s="23">
        <f>J163*(1-$H$2)</f>
        <v>134</v>
      </c>
      <c r="L163" s="24">
        <f>K163*I163</f>
        <v>0</v>
      </c>
      <c r="M163" s="25">
        <v>1</v>
      </c>
    </row>
    <row r="164" spans="1:13" x14ac:dyDescent="0.3">
      <c r="A164" s="35">
        <v>2659</v>
      </c>
      <c r="B164" s="39" t="s">
        <v>279</v>
      </c>
      <c r="C164" s="41" t="s">
        <v>0</v>
      </c>
      <c r="D164" s="43" t="s">
        <v>280</v>
      </c>
      <c r="E164" s="49" t="s">
        <v>281</v>
      </c>
      <c r="F164" s="55" t="s">
        <v>28</v>
      </c>
      <c r="G164" s="55" t="s">
        <v>282</v>
      </c>
      <c r="H164" s="57">
        <v>55</v>
      </c>
      <c r="I164" s="61"/>
      <c r="J164" s="63">
        <v>267</v>
      </c>
      <c r="K164" s="65">
        <f>J164*(1-$H$2)</f>
        <v>106.80000000000001</v>
      </c>
      <c r="L164" s="67">
        <f>K164*I164</f>
        <v>0</v>
      </c>
      <c r="M164" s="16">
        <v>1</v>
      </c>
    </row>
    <row r="165" spans="1:13" x14ac:dyDescent="0.3">
      <c r="A165" s="35">
        <v>2660</v>
      </c>
      <c r="B165" s="39" t="s">
        <v>283</v>
      </c>
      <c r="C165" s="41" t="s">
        <v>0</v>
      </c>
      <c r="D165" s="43" t="s">
        <v>284</v>
      </c>
      <c r="E165" s="49" t="s">
        <v>285</v>
      </c>
      <c r="F165" s="55" t="s">
        <v>18</v>
      </c>
      <c r="G165" s="55" t="s">
        <v>286</v>
      </c>
      <c r="H165" s="57">
        <v>106</v>
      </c>
      <c r="I165" s="61"/>
      <c r="J165" s="63">
        <v>500</v>
      </c>
      <c r="K165" s="65">
        <f>J165*(1-$H$2)</f>
        <v>200</v>
      </c>
      <c r="L165" s="67">
        <f>K165*I165</f>
        <v>0</v>
      </c>
      <c r="M165" s="16">
        <v>1</v>
      </c>
    </row>
    <row r="166" spans="1:13" ht="27.6" x14ac:dyDescent="0.3">
      <c r="A166" s="35">
        <v>2689</v>
      </c>
      <c r="B166" s="39" t="s">
        <v>287</v>
      </c>
      <c r="C166" s="41" t="s">
        <v>0</v>
      </c>
      <c r="D166" s="43" t="s">
        <v>159</v>
      </c>
      <c r="E166" s="49" t="s">
        <v>160</v>
      </c>
      <c r="F166" s="55" t="s">
        <v>18</v>
      </c>
      <c r="G166" s="55" t="s">
        <v>161</v>
      </c>
      <c r="H166" s="57">
        <v>597</v>
      </c>
      <c r="I166" s="61"/>
      <c r="J166" s="63">
        <v>335</v>
      </c>
      <c r="K166" s="65">
        <f>J166*(1-$H$2)</f>
        <v>134</v>
      </c>
      <c r="L166" s="67">
        <f>K166*I166</f>
        <v>0</v>
      </c>
      <c r="M166" s="16">
        <v>1</v>
      </c>
    </row>
    <row r="167" spans="1:13" ht="27.6" x14ac:dyDescent="0.3">
      <c r="A167" s="35">
        <v>2696</v>
      </c>
      <c r="B167" s="17" t="s">
        <v>288</v>
      </c>
      <c r="C167" s="18" t="s">
        <v>0</v>
      </c>
      <c r="D167" s="45" t="s">
        <v>159</v>
      </c>
      <c r="E167" s="51" t="s">
        <v>160</v>
      </c>
      <c r="F167" s="21" t="s">
        <v>18</v>
      </c>
      <c r="G167" s="21" t="s">
        <v>161</v>
      </c>
      <c r="H167" s="26">
        <v>597</v>
      </c>
      <c r="I167" s="27"/>
      <c r="J167" s="22">
        <v>335</v>
      </c>
      <c r="K167" s="23">
        <f>J167*(1-$H$2)</f>
        <v>134</v>
      </c>
      <c r="L167" s="24">
        <f>K167*I167</f>
        <v>0</v>
      </c>
      <c r="M167" s="25">
        <v>1</v>
      </c>
    </row>
    <row r="168" spans="1:13" x14ac:dyDescent="0.3">
      <c r="A168" s="35">
        <v>2714</v>
      </c>
      <c r="B168" s="17" t="s">
        <v>289</v>
      </c>
      <c r="C168" s="18" t="s">
        <v>0</v>
      </c>
      <c r="D168" s="45" t="s">
        <v>140</v>
      </c>
      <c r="E168" s="51" t="s">
        <v>141</v>
      </c>
      <c r="F168" s="21" t="s">
        <v>18</v>
      </c>
      <c r="G168" s="21" t="s">
        <v>142</v>
      </c>
      <c r="H168" s="58">
        <v>80</v>
      </c>
      <c r="I168" s="27"/>
      <c r="J168" s="22">
        <v>428</v>
      </c>
      <c r="K168" s="23">
        <f>J168*(1-$H$2)</f>
        <v>171.20000000000002</v>
      </c>
      <c r="L168" s="24">
        <f>K168*I168</f>
        <v>0</v>
      </c>
      <c r="M168" s="25">
        <v>1</v>
      </c>
    </row>
    <row r="169" spans="1:13" ht="27.6" x14ac:dyDescent="0.3">
      <c r="A169" s="35">
        <v>2720</v>
      </c>
      <c r="B169" s="17" t="s">
        <v>290</v>
      </c>
      <c r="C169" s="18" t="s">
        <v>0</v>
      </c>
      <c r="D169" s="45" t="s">
        <v>140</v>
      </c>
      <c r="E169" s="51" t="s">
        <v>141</v>
      </c>
      <c r="F169" s="21" t="s">
        <v>18</v>
      </c>
      <c r="G169" s="21" t="s">
        <v>142</v>
      </c>
      <c r="H169" s="58">
        <v>80</v>
      </c>
      <c r="I169" s="27"/>
      <c r="J169" s="22">
        <v>428</v>
      </c>
      <c r="K169" s="23">
        <f>J169*(1-$H$2)</f>
        <v>171.20000000000002</v>
      </c>
      <c r="L169" s="24">
        <f>K169*I169</f>
        <v>0</v>
      </c>
      <c r="M169" s="25">
        <v>1</v>
      </c>
    </row>
    <row r="170" spans="1:13" x14ac:dyDescent="0.3">
      <c r="A170" s="35">
        <v>2745</v>
      </c>
      <c r="B170" s="39" t="s">
        <v>291</v>
      </c>
      <c r="C170" s="41" t="s">
        <v>0</v>
      </c>
      <c r="D170" s="43" t="s">
        <v>140</v>
      </c>
      <c r="E170" s="49" t="s">
        <v>141</v>
      </c>
      <c r="F170" s="55" t="s">
        <v>18</v>
      </c>
      <c r="G170" s="55" t="s">
        <v>142</v>
      </c>
      <c r="H170" s="57">
        <v>80</v>
      </c>
      <c r="I170" s="61"/>
      <c r="J170" s="63">
        <v>428</v>
      </c>
      <c r="K170" s="65">
        <f>J170*(1-$H$2)</f>
        <v>171.20000000000002</v>
      </c>
      <c r="L170" s="67">
        <f>K170*I170</f>
        <v>0</v>
      </c>
      <c r="M170" s="16">
        <v>1</v>
      </c>
    </row>
    <row r="171" spans="1:13" x14ac:dyDescent="0.3">
      <c r="A171" s="35">
        <v>2756</v>
      </c>
      <c r="B171" s="39" t="s">
        <v>292</v>
      </c>
      <c r="C171" s="41" t="s">
        <v>0</v>
      </c>
      <c r="D171" s="43" t="s">
        <v>140</v>
      </c>
      <c r="E171" s="49" t="s">
        <v>141</v>
      </c>
      <c r="F171" s="55" t="s">
        <v>18</v>
      </c>
      <c r="G171" s="55" t="s">
        <v>142</v>
      </c>
      <c r="H171" s="57">
        <v>80</v>
      </c>
      <c r="I171" s="61"/>
      <c r="J171" s="63">
        <v>428</v>
      </c>
      <c r="K171" s="65">
        <f>J171*(1-$H$2)</f>
        <v>171.20000000000002</v>
      </c>
      <c r="L171" s="67">
        <f>K171*I171</f>
        <v>0</v>
      </c>
      <c r="M171" s="16">
        <v>1</v>
      </c>
    </row>
    <row r="172" spans="1:13" x14ac:dyDescent="0.3">
      <c r="A172" s="35">
        <v>2848</v>
      </c>
      <c r="B172" s="17" t="s">
        <v>293</v>
      </c>
      <c r="C172" s="18" t="s">
        <v>0</v>
      </c>
      <c r="D172" s="28" t="s">
        <v>294</v>
      </c>
      <c r="E172" s="21" t="s">
        <v>295</v>
      </c>
      <c r="F172" s="21" t="s">
        <v>18</v>
      </c>
      <c r="G172" s="21" t="s">
        <v>296</v>
      </c>
      <c r="H172" s="26">
        <v>50</v>
      </c>
      <c r="I172" s="27"/>
      <c r="J172" s="22">
        <v>351</v>
      </c>
      <c r="K172" s="23">
        <f>J172*(1-$H$2)</f>
        <v>140.4</v>
      </c>
      <c r="L172" s="24">
        <f>K172*I172</f>
        <v>0</v>
      </c>
      <c r="M172" s="25">
        <v>1</v>
      </c>
    </row>
    <row r="173" spans="1:13" x14ac:dyDescent="0.3">
      <c r="A173" s="35">
        <v>2849</v>
      </c>
      <c r="B173" s="17" t="s">
        <v>293</v>
      </c>
      <c r="C173" s="18" t="s">
        <v>0</v>
      </c>
      <c r="D173" s="28" t="s">
        <v>297</v>
      </c>
      <c r="E173" s="21" t="s">
        <v>298</v>
      </c>
      <c r="F173" s="21" t="s">
        <v>28</v>
      </c>
      <c r="G173" s="21" t="s">
        <v>296</v>
      </c>
      <c r="H173" s="26">
        <v>53</v>
      </c>
      <c r="I173" s="27"/>
      <c r="J173" s="22">
        <v>340</v>
      </c>
      <c r="K173" s="23">
        <f>J173*(1-$H$2)</f>
        <v>136</v>
      </c>
      <c r="L173" s="24">
        <f>K173*I173</f>
        <v>0</v>
      </c>
      <c r="M173" s="25">
        <v>1</v>
      </c>
    </row>
    <row r="174" spans="1:13" x14ac:dyDescent="0.3">
      <c r="A174" s="35">
        <v>2867</v>
      </c>
      <c r="B174" s="39" t="s">
        <v>299</v>
      </c>
      <c r="C174" s="41" t="s">
        <v>0</v>
      </c>
      <c r="D174" s="43" t="s">
        <v>140</v>
      </c>
      <c r="E174" s="49" t="s">
        <v>141</v>
      </c>
      <c r="F174" s="55" t="s">
        <v>18</v>
      </c>
      <c r="G174" s="55" t="s">
        <v>142</v>
      </c>
      <c r="H174" s="57">
        <v>80</v>
      </c>
      <c r="I174" s="61"/>
      <c r="J174" s="63">
        <v>428</v>
      </c>
      <c r="K174" s="65">
        <f>J174*(1-$H$2)</f>
        <v>171.20000000000002</v>
      </c>
      <c r="L174" s="67">
        <f>K174*I174</f>
        <v>0</v>
      </c>
      <c r="M174" s="16">
        <v>1</v>
      </c>
    </row>
    <row r="175" spans="1:13" x14ac:dyDescent="0.3">
      <c r="A175" s="35">
        <v>2914</v>
      </c>
      <c r="B175" s="39" t="s">
        <v>300</v>
      </c>
      <c r="C175" s="41" t="s">
        <v>0</v>
      </c>
      <c r="D175" s="43" t="s">
        <v>140</v>
      </c>
      <c r="E175" s="49" t="s">
        <v>141</v>
      </c>
      <c r="F175" s="55" t="s">
        <v>18</v>
      </c>
      <c r="G175" s="55" t="s">
        <v>142</v>
      </c>
      <c r="H175" s="57">
        <v>80</v>
      </c>
      <c r="I175" s="61"/>
      <c r="J175" s="63">
        <v>428</v>
      </c>
      <c r="K175" s="65">
        <f>J175*(1-$H$2)</f>
        <v>171.20000000000002</v>
      </c>
      <c r="L175" s="67">
        <f>K175*I175</f>
        <v>0</v>
      </c>
      <c r="M175" s="16">
        <v>1</v>
      </c>
    </row>
    <row r="176" spans="1:13" x14ac:dyDescent="0.3">
      <c r="A176" s="35">
        <v>2959</v>
      </c>
      <c r="B176" s="39" t="s">
        <v>301</v>
      </c>
      <c r="C176" s="41" t="s">
        <v>0</v>
      </c>
      <c r="D176" s="43" t="s">
        <v>155</v>
      </c>
      <c r="E176" s="49" t="s">
        <v>156</v>
      </c>
      <c r="F176" s="55" t="s">
        <v>18</v>
      </c>
      <c r="G176" s="55" t="s">
        <v>157</v>
      </c>
      <c r="H176" s="57">
        <v>186</v>
      </c>
      <c r="I176" s="61"/>
      <c r="J176" s="63">
        <v>528</v>
      </c>
      <c r="K176" s="65">
        <f>J176*(1-$H$2)</f>
        <v>211.20000000000002</v>
      </c>
      <c r="L176" s="67">
        <f>K176*I176</f>
        <v>0</v>
      </c>
      <c r="M176" s="16">
        <v>1</v>
      </c>
    </row>
    <row r="177" spans="1:13" x14ac:dyDescent="0.3">
      <c r="A177" s="35">
        <v>2970</v>
      </c>
      <c r="B177" s="39" t="s">
        <v>302</v>
      </c>
      <c r="C177" s="41" t="s">
        <v>0</v>
      </c>
      <c r="D177" s="43" t="s">
        <v>159</v>
      </c>
      <c r="E177" s="49" t="s">
        <v>160</v>
      </c>
      <c r="F177" s="55" t="s">
        <v>18</v>
      </c>
      <c r="G177" s="55" t="s">
        <v>161</v>
      </c>
      <c r="H177" s="57">
        <v>597</v>
      </c>
      <c r="I177" s="61"/>
      <c r="J177" s="63">
        <v>335</v>
      </c>
      <c r="K177" s="65">
        <f>J177*(1-$H$2)</f>
        <v>134</v>
      </c>
      <c r="L177" s="67">
        <f>K177*I177</f>
        <v>0</v>
      </c>
      <c r="M177" s="16">
        <v>1</v>
      </c>
    </row>
    <row r="178" spans="1:13" x14ac:dyDescent="0.3">
      <c r="A178" s="35">
        <v>3026</v>
      </c>
      <c r="B178" s="39" t="s">
        <v>303</v>
      </c>
      <c r="C178" s="41" t="s">
        <v>0</v>
      </c>
      <c r="D178" s="43" t="s">
        <v>140</v>
      </c>
      <c r="E178" s="49" t="s">
        <v>141</v>
      </c>
      <c r="F178" s="55" t="s">
        <v>18</v>
      </c>
      <c r="G178" s="55" t="s">
        <v>142</v>
      </c>
      <c r="H178" s="57">
        <v>80</v>
      </c>
      <c r="I178" s="61"/>
      <c r="J178" s="63">
        <v>428</v>
      </c>
      <c r="K178" s="65">
        <f>J178*(1-$H$2)</f>
        <v>171.20000000000002</v>
      </c>
      <c r="L178" s="67">
        <f>K178*I178</f>
        <v>0</v>
      </c>
      <c r="M178" s="16">
        <v>1</v>
      </c>
    </row>
    <row r="179" spans="1:13" x14ac:dyDescent="0.3">
      <c r="A179" s="35">
        <v>3068</v>
      </c>
      <c r="B179" s="39" t="s">
        <v>304</v>
      </c>
      <c r="C179" s="41" t="s">
        <v>0</v>
      </c>
      <c r="D179" s="47" t="s">
        <v>305</v>
      </c>
      <c r="E179" s="53" t="s">
        <v>306</v>
      </c>
      <c r="F179" s="55" t="s">
        <v>28</v>
      </c>
      <c r="G179" s="55" t="s">
        <v>307</v>
      </c>
      <c r="H179" s="57">
        <v>91</v>
      </c>
      <c r="I179" s="61"/>
      <c r="J179" s="63">
        <v>333</v>
      </c>
      <c r="K179" s="65">
        <f>J179*(1-$H$2)</f>
        <v>133.20000000000002</v>
      </c>
      <c r="L179" s="67">
        <f>K179*I179</f>
        <v>0</v>
      </c>
      <c r="M179" s="16">
        <v>1</v>
      </c>
    </row>
    <row r="180" spans="1:13" x14ac:dyDescent="0.3">
      <c r="A180" s="35">
        <v>3226</v>
      </c>
      <c r="B180" s="17" t="s">
        <v>308</v>
      </c>
      <c r="C180" s="18" t="s">
        <v>0</v>
      </c>
      <c r="D180" s="45" t="s">
        <v>150</v>
      </c>
      <c r="E180" s="51" t="s">
        <v>151</v>
      </c>
      <c r="F180" s="21" t="s">
        <v>39</v>
      </c>
      <c r="G180" s="21" t="s">
        <v>152</v>
      </c>
      <c r="H180" s="26">
        <v>53</v>
      </c>
      <c r="I180" s="27"/>
      <c r="J180" s="22">
        <v>202</v>
      </c>
      <c r="K180" s="23">
        <f>J180*(1-$H$2)</f>
        <v>80.800000000000011</v>
      </c>
      <c r="L180" s="24">
        <f>K180*I180</f>
        <v>0</v>
      </c>
      <c r="M180" s="25">
        <v>1</v>
      </c>
    </row>
    <row r="181" spans="1:13" x14ac:dyDescent="0.3">
      <c r="A181" s="35">
        <v>3250</v>
      </c>
      <c r="B181" s="17" t="s">
        <v>309</v>
      </c>
      <c r="C181" s="18" t="s">
        <v>0</v>
      </c>
      <c r="D181" s="45" t="s">
        <v>212</v>
      </c>
      <c r="E181" s="51" t="s">
        <v>213</v>
      </c>
      <c r="F181" s="21" t="s">
        <v>31</v>
      </c>
      <c r="G181" s="21" t="s">
        <v>211</v>
      </c>
      <c r="H181" s="26">
        <v>65</v>
      </c>
      <c r="I181" s="27"/>
      <c r="J181" s="22">
        <v>349</v>
      </c>
      <c r="K181" s="23">
        <f>J181*(1-$H$2)</f>
        <v>139.6</v>
      </c>
      <c r="L181" s="24">
        <f>K181*I181</f>
        <v>0</v>
      </c>
      <c r="M181" s="25">
        <v>1</v>
      </c>
    </row>
    <row r="182" spans="1:13" x14ac:dyDescent="0.3">
      <c r="A182" s="35">
        <v>3257</v>
      </c>
      <c r="B182" s="39" t="s">
        <v>310</v>
      </c>
      <c r="C182" s="41" t="s">
        <v>0</v>
      </c>
      <c r="D182" s="43" t="s">
        <v>118</v>
      </c>
      <c r="E182" s="49" t="s">
        <v>119</v>
      </c>
      <c r="F182" s="55" t="s">
        <v>28</v>
      </c>
      <c r="G182" s="55" t="s">
        <v>120</v>
      </c>
      <c r="H182" s="57">
        <v>225</v>
      </c>
      <c r="I182" s="61"/>
      <c r="J182" s="63">
        <v>343</v>
      </c>
      <c r="K182" s="65">
        <f>J182*(1-$H$2)</f>
        <v>137.20000000000002</v>
      </c>
      <c r="L182" s="67">
        <f>K182*I182</f>
        <v>0</v>
      </c>
      <c r="M182" s="16">
        <v>1</v>
      </c>
    </row>
    <row r="183" spans="1:13" x14ac:dyDescent="0.3">
      <c r="A183" s="35">
        <v>3441</v>
      </c>
      <c r="B183" s="39" t="s">
        <v>311</v>
      </c>
      <c r="C183" s="41" t="s">
        <v>0</v>
      </c>
      <c r="D183" s="43" t="s">
        <v>159</v>
      </c>
      <c r="E183" s="49" t="s">
        <v>160</v>
      </c>
      <c r="F183" s="55" t="s">
        <v>18</v>
      </c>
      <c r="G183" s="55" t="s">
        <v>161</v>
      </c>
      <c r="H183" s="57">
        <v>597</v>
      </c>
      <c r="I183" s="61"/>
      <c r="J183" s="63">
        <v>335</v>
      </c>
      <c r="K183" s="65">
        <f>J183*(1-$H$2)</f>
        <v>134</v>
      </c>
      <c r="L183" s="67">
        <f>K183*I183</f>
        <v>0</v>
      </c>
      <c r="M183" s="16">
        <v>1</v>
      </c>
    </row>
    <row r="184" spans="1:13" x14ac:dyDescent="0.3">
      <c r="A184" s="35">
        <v>3652</v>
      </c>
      <c r="B184" s="17" t="s">
        <v>312</v>
      </c>
      <c r="C184" s="18" t="s">
        <v>0</v>
      </c>
      <c r="D184" s="45" t="s">
        <v>313</v>
      </c>
      <c r="E184" s="51" t="s">
        <v>314</v>
      </c>
      <c r="F184" s="21" t="s">
        <v>24</v>
      </c>
      <c r="G184" s="21" t="s">
        <v>315</v>
      </c>
      <c r="H184" s="26">
        <v>85</v>
      </c>
      <c r="I184" s="27"/>
      <c r="J184" s="22">
        <v>368</v>
      </c>
      <c r="K184" s="23">
        <f>J184*(1-$H$2)</f>
        <v>147.20000000000002</v>
      </c>
      <c r="L184" s="24">
        <f>K184*I184</f>
        <v>0</v>
      </c>
      <c r="M184" s="25">
        <v>1</v>
      </c>
    </row>
    <row r="185" spans="1:13" x14ac:dyDescent="0.3">
      <c r="A185" s="35">
        <v>3778</v>
      </c>
      <c r="B185" s="40" t="s">
        <v>316</v>
      </c>
      <c r="C185" s="42" t="s">
        <v>0</v>
      </c>
      <c r="D185" s="48" t="s">
        <v>313</v>
      </c>
      <c r="E185" s="54" t="s">
        <v>314</v>
      </c>
      <c r="F185" s="56" t="s">
        <v>24</v>
      </c>
      <c r="G185" s="56" t="s">
        <v>315</v>
      </c>
      <c r="H185" s="59">
        <v>85</v>
      </c>
      <c r="I185" s="62"/>
      <c r="J185" s="64">
        <v>368</v>
      </c>
      <c r="K185" s="66">
        <f>J185*(1-$H$2)</f>
        <v>147.20000000000002</v>
      </c>
      <c r="L185" s="68">
        <f>K185*I185</f>
        <v>0</v>
      </c>
      <c r="M185" s="25">
        <v>1</v>
      </c>
    </row>
    <row r="186" spans="1:13" x14ac:dyDescent="0.3">
      <c r="A186" s="35">
        <v>3779</v>
      </c>
      <c r="B186" s="17" t="s">
        <v>316</v>
      </c>
      <c r="C186" s="18" t="s">
        <v>0</v>
      </c>
      <c r="D186" s="45" t="s">
        <v>176</v>
      </c>
      <c r="E186" s="51" t="s">
        <v>177</v>
      </c>
      <c r="F186" s="21" t="s">
        <v>24</v>
      </c>
      <c r="G186" s="21" t="s">
        <v>178</v>
      </c>
      <c r="H186" s="26">
        <v>220</v>
      </c>
      <c r="I186" s="27"/>
      <c r="J186" s="22">
        <v>424</v>
      </c>
      <c r="K186" s="23">
        <f>J186*(1-$H$2)</f>
        <v>169.60000000000002</v>
      </c>
      <c r="L186" s="24">
        <f>K186*I186</f>
        <v>0</v>
      </c>
      <c r="M186" s="25">
        <v>1</v>
      </c>
    </row>
    <row r="187" spans="1:13" x14ac:dyDescent="0.3">
      <c r="A187" s="35">
        <v>3783</v>
      </c>
      <c r="B187" s="17" t="s">
        <v>317</v>
      </c>
      <c r="C187" s="18" t="s">
        <v>0</v>
      </c>
      <c r="D187" s="45" t="s">
        <v>184</v>
      </c>
      <c r="E187" s="51" t="s">
        <v>185</v>
      </c>
      <c r="F187" s="21" t="s">
        <v>28</v>
      </c>
      <c r="G187" s="21" t="s">
        <v>183</v>
      </c>
      <c r="H187" s="58">
        <v>62</v>
      </c>
      <c r="I187" s="27"/>
      <c r="J187" s="22">
        <v>274</v>
      </c>
      <c r="K187" s="23">
        <f>J187*(1-$H$2)</f>
        <v>109.60000000000001</v>
      </c>
      <c r="L187" s="24">
        <f>K187*I187</f>
        <v>0</v>
      </c>
      <c r="M187" s="25">
        <v>1</v>
      </c>
    </row>
    <row r="188" spans="1:13" x14ac:dyDescent="0.3">
      <c r="A188" s="35">
        <v>3794</v>
      </c>
      <c r="B188" s="39" t="s">
        <v>318</v>
      </c>
      <c r="C188" s="41" t="s">
        <v>0</v>
      </c>
      <c r="D188" s="43" t="s">
        <v>313</v>
      </c>
      <c r="E188" s="49" t="s">
        <v>314</v>
      </c>
      <c r="F188" s="55" t="s">
        <v>24</v>
      </c>
      <c r="G188" s="55" t="s">
        <v>315</v>
      </c>
      <c r="H188" s="57">
        <v>85</v>
      </c>
      <c r="I188" s="61"/>
      <c r="J188" s="63">
        <v>368</v>
      </c>
      <c r="K188" s="65">
        <f>J188*(1-$H$2)</f>
        <v>147.20000000000002</v>
      </c>
      <c r="L188" s="67">
        <f>K188*I188</f>
        <v>0</v>
      </c>
      <c r="M188" s="16">
        <v>1</v>
      </c>
    </row>
    <row r="189" spans="1:13" x14ac:dyDescent="0.3">
      <c r="A189" s="35">
        <v>3795</v>
      </c>
      <c r="B189" s="17" t="s">
        <v>318</v>
      </c>
      <c r="C189" s="18" t="s">
        <v>0</v>
      </c>
      <c r="D189" s="19" t="s">
        <v>176</v>
      </c>
      <c r="E189" s="20" t="s">
        <v>177</v>
      </c>
      <c r="F189" s="21" t="s">
        <v>24</v>
      </c>
      <c r="G189" s="21" t="s">
        <v>178</v>
      </c>
      <c r="H189" s="26">
        <v>220</v>
      </c>
      <c r="I189" s="27"/>
      <c r="J189" s="22">
        <v>424</v>
      </c>
      <c r="K189" s="23">
        <f>J189*(1-$H$2)</f>
        <v>169.60000000000002</v>
      </c>
      <c r="L189" s="24">
        <f>K189*I189</f>
        <v>0</v>
      </c>
      <c r="M189" s="25">
        <v>0</v>
      </c>
    </row>
    <row r="190" spans="1:13" x14ac:dyDescent="0.3">
      <c r="A190" s="35">
        <v>3802</v>
      </c>
      <c r="B190" s="6" t="s">
        <v>319</v>
      </c>
      <c r="C190" s="7" t="s">
        <v>0</v>
      </c>
      <c r="D190" s="8" t="s">
        <v>184</v>
      </c>
      <c r="E190" s="9" t="s">
        <v>185</v>
      </c>
      <c r="F190" s="10" t="s">
        <v>28</v>
      </c>
      <c r="G190" s="10" t="s">
        <v>183</v>
      </c>
      <c r="H190" s="11">
        <v>62</v>
      </c>
      <c r="I190" s="12"/>
      <c r="J190" s="13">
        <v>274</v>
      </c>
      <c r="K190" s="14">
        <f>J190*(1-$H$2)</f>
        <v>109.60000000000001</v>
      </c>
      <c r="L190" s="15">
        <f>K190*I190</f>
        <v>0</v>
      </c>
      <c r="M190" s="16">
        <v>1</v>
      </c>
    </row>
    <row r="191" spans="1:13" x14ac:dyDescent="0.3">
      <c r="A191" s="35">
        <v>3826</v>
      </c>
      <c r="B191" s="39" t="s">
        <v>320</v>
      </c>
      <c r="C191" s="41" t="s">
        <v>0</v>
      </c>
      <c r="D191" s="43" t="s">
        <v>321</v>
      </c>
      <c r="E191" s="49" t="s">
        <v>322</v>
      </c>
      <c r="F191" s="55" t="s">
        <v>31</v>
      </c>
      <c r="G191" s="55" t="s">
        <v>323</v>
      </c>
      <c r="H191" s="57">
        <v>72</v>
      </c>
      <c r="I191" s="61"/>
      <c r="J191" s="63">
        <v>442</v>
      </c>
      <c r="K191" s="65">
        <f>J191*(1-$H$2)</f>
        <v>176.8</v>
      </c>
      <c r="L191" s="67">
        <f>K191*I191</f>
        <v>0</v>
      </c>
      <c r="M191" s="16">
        <v>1</v>
      </c>
    </row>
    <row r="192" spans="1:13" x14ac:dyDescent="0.3">
      <c r="A192" s="35">
        <v>3831</v>
      </c>
      <c r="B192" s="39" t="s">
        <v>324</v>
      </c>
      <c r="C192" s="41" t="s">
        <v>0</v>
      </c>
      <c r="D192" s="47" t="s">
        <v>326</v>
      </c>
      <c r="E192" s="53" t="s">
        <v>327</v>
      </c>
      <c r="F192" s="55" t="s">
        <v>28</v>
      </c>
      <c r="G192" s="55" t="s">
        <v>325</v>
      </c>
      <c r="H192" s="57">
        <v>53</v>
      </c>
      <c r="I192" s="61"/>
      <c r="J192" s="63">
        <v>283</v>
      </c>
      <c r="K192" s="65">
        <f>J192*(1-$H$2)</f>
        <v>113.2</v>
      </c>
      <c r="L192" s="67">
        <f>K192*I192</f>
        <v>0</v>
      </c>
      <c r="M192" s="16">
        <v>1</v>
      </c>
    </row>
    <row r="193" spans="1:13" x14ac:dyDescent="0.3">
      <c r="A193" s="35">
        <v>3838</v>
      </c>
      <c r="B193" s="39" t="s">
        <v>328</v>
      </c>
      <c r="C193" s="41" t="s">
        <v>0</v>
      </c>
      <c r="D193" s="43" t="s">
        <v>176</v>
      </c>
      <c r="E193" s="49" t="s">
        <v>177</v>
      </c>
      <c r="F193" s="55" t="s">
        <v>24</v>
      </c>
      <c r="G193" s="55" t="s">
        <v>178</v>
      </c>
      <c r="H193" s="57">
        <v>220</v>
      </c>
      <c r="I193" s="61"/>
      <c r="J193" s="63">
        <v>424</v>
      </c>
      <c r="K193" s="65">
        <f>J193*(1-$H$2)</f>
        <v>169.60000000000002</v>
      </c>
      <c r="L193" s="67">
        <f>K193*I193</f>
        <v>0</v>
      </c>
      <c r="M193" s="16">
        <v>1</v>
      </c>
    </row>
    <row r="194" spans="1:13" x14ac:dyDescent="0.3">
      <c r="A194" s="35">
        <v>3841</v>
      </c>
      <c r="B194" s="17" t="s">
        <v>329</v>
      </c>
      <c r="C194" s="18" t="s">
        <v>0</v>
      </c>
      <c r="D194" s="19" t="s">
        <v>313</v>
      </c>
      <c r="E194" s="20" t="s">
        <v>314</v>
      </c>
      <c r="F194" s="21" t="s">
        <v>24</v>
      </c>
      <c r="G194" s="21" t="s">
        <v>315</v>
      </c>
      <c r="H194" s="26">
        <v>85</v>
      </c>
      <c r="I194" s="27"/>
      <c r="J194" s="22">
        <v>368</v>
      </c>
      <c r="K194" s="23">
        <f>J194*(1-$H$2)</f>
        <v>147.20000000000002</v>
      </c>
      <c r="L194" s="24">
        <f>K194*I194</f>
        <v>0</v>
      </c>
      <c r="M194" s="25">
        <v>0</v>
      </c>
    </row>
    <row r="195" spans="1:13" x14ac:dyDescent="0.3">
      <c r="A195" s="35">
        <v>3852</v>
      </c>
      <c r="B195" s="39" t="s">
        <v>330</v>
      </c>
      <c r="C195" s="41" t="s">
        <v>0</v>
      </c>
      <c r="D195" s="43" t="s">
        <v>331</v>
      </c>
      <c r="E195" s="49" t="s">
        <v>332</v>
      </c>
      <c r="F195" s="55" t="s">
        <v>31</v>
      </c>
      <c r="G195" s="55" t="s">
        <v>333</v>
      </c>
      <c r="H195" s="57">
        <v>60</v>
      </c>
      <c r="I195" s="61"/>
      <c r="J195" s="63">
        <v>294</v>
      </c>
      <c r="K195" s="65">
        <f>J195*(1-$H$2)</f>
        <v>117.60000000000001</v>
      </c>
      <c r="L195" s="67">
        <f>K195*I195</f>
        <v>0</v>
      </c>
      <c r="M195" s="16">
        <v>1</v>
      </c>
    </row>
    <row r="196" spans="1:13" x14ac:dyDescent="0.3">
      <c r="A196" s="35">
        <v>3856</v>
      </c>
      <c r="B196" s="6" t="s">
        <v>334</v>
      </c>
      <c r="C196" s="7" t="s">
        <v>0</v>
      </c>
      <c r="D196" s="8" t="s">
        <v>321</v>
      </c>
      <c r="E196" s="9" t="s">
        <v>322</v>
      </c>
      <c r="F196" s="10" t="s">
        <v>31</v>
      </c>
      <c r="G196" s="10" t="s">
        <v>323</v>
      </c>
      <c r="H196" s="11">
        <v>72</v>
      </c>
      <c r="I196" s="12"/>
      <c r="J196" s="13">
        <v>442</v>
      </c>
      <c r="K196" s="14">
        <f>J196*(1-$H$2)</f>
        <v>176.8</v>
      </c>
      <c r="L196" s="15">
        <f>K196*I196</f>
        <v>0</v>
      </c>
      <c r="M196" s="16">
        <v>1</v>
      </c>
    </row>
    <row r="197" spans="1:13" x14ac:dyDescent="0.3">
      <c r="A197" s="35">
        <v>3859</v>
      </c>
      <c r="B197" s="39" t="s">
        <v>335</v>
      </c>
      <c r="C197" s="41" t="s">
        <v>0</v>
      </c>
      <c r="D197" s="47" t="s">
        <v>336</v>
      </c>
      <c r="E197" s="53" t="s">
        <v>337</v>
      </c>
      <c r="F197" s="55" t="s">
        <v>24</v>
      </c>
      <c r="G197" s="55" t="s">
        <v>338</v>
      </c>
      <c r="H197" s="57">
        <v>58</v>
      </c>
      <c r="I197" s="61"/>
      <c r="J197" s="63">
        <v>455</v>
      </c>
      <c r="K197" s="65">
        <f>J197*(1-$H$2)</f>
        <v>182</v>
      </c>
      <c r="L197" s="67">
        <f>K197*I197</f>
        <v>0</v>
      </c>
      <c r="M197" s="16">
        <v>1</v>
      </c>
    </row>
    <row r="198" spans="1:13" x14ac:dyDescent="0.3">
      <c r="A198" s="35">
        <v>3860</v>
      </c>
      <c r="B198" s="39" t="s">
        <v>335</v>
      </c>
      <c r="C198" s="41" t="s">
        <v>0</v>
      </c>
      <c r="D198" s="47" t="s">
        <v>339</v>
      </c>
      <c r="E198" s="53" t="s">
        <v>340</v>
      </c>
      <c r="F198" s="55" t="s">
        <v>24</v>
      </c>
      <c r="G198" s="55" t="s">
        <v>338</v>
      </c>
      <c r="H198" s="57">
        <v>57</v>
      </c>
      <c r="I198" s="61"/>
      <c r="J198" s="63">
        <v>455</v>
      </c>
      <c r="K198" s="65">
        <f>J198*(1-$H$2)</f>
        <v>182</v>
      </c>
      <c r="L198" s="67">
        <f>K198*I198</f>
        <v>0</v>
      </c>
      <c r="M198" s="16">
        <v>1</v>
      </c>
    </row>
    <row r="199" spans="1:13" x14ac:dyDescent="0.3">
      <c r="A199" s="35">
        <v>3863</v>
      </c>
      <c r="B199" s="6" t="s">
        <v>341</v>
      </c>
      <c r="C199" s="7" t="s">
        <v>0</v>
      </c>
      <c r="D199" s="8" t="s">
        <v>331</v>
      </c>
      <c r="E199" s="9" t="s">
        <v>332</v>
      </c>
      <c r="F199" s="10" t="s">
        <v>31</v>
      </c>
      <c r="G199" s="10" t="s">
        <v>333</v>
      </c>
      <c r="H199" s="11">
        <v>60</v>
      </c>
      <c r="I199" s="12"/>
      <c r="J199" s="13">
        <v>294</v>
      </c>
      <c r="K199" s="14">
        <f>J199*(1-$H$2)</f>
        <v>117.60000000000001</v>
      </c>
      <c r="L199" s="15">
        <f>K199*I199</f>
        <v>0</v>
      </c>
      <c r="M199" s="16">
        <v>1</v>
      </c>
    </row>
    <row r="200" spans="1:13" x14ac:dyDescent="0.3">
      <c r="A200" s="35">
        <v>3868</v>
      </c>
      <c r="B200" s="17" t="s">
        <v>342</v>
      </c>
      <c r="C200" s="18" t="s">
        <v>0</v>
      </c>
      <c r="D200" s="28" t="s">
        <v>344</v>
      </c>
      <c r="E200" s="21" t="s">
        <v>345</v>
      </c>
      <c r="F200" s="21" t="s">
        <v>24</v>
      </c>
      <c r="G200" s="21" t="s">
        <v>343</v>
      </c>
      <c r="H200" s="58">
        <v>71</v>
      </c>
      <c r="I200" s="27"/>
      <c r="J200" s="22">
        <v>489</v>
      </c>
      <c r="K200" s="23">
        <f>J200*(1-$H$2)</f>
        <v>195.60000000000002</v>
      </c>
      <c r="L200" s="24">
        <f>K200*I200</f>
        <v>0</v>
      </c>
      <c r="M200" s="25">
        <v>1</v>
      </c>
    </row>
    <row r="201" spans="1:13" x14ac:dyDescent="0.3">
      <c r="A201" s="35">
        <v>3873</v>
      </c>
      <c r="B201" s="17" t="s">
        <v>346</v>
      </c>
      <c r="C201" s="18" t="s">
        <v>0</v>
      </c>
      <c r="D201" s="45" t="s">
        <v>179</v>
      </c>
      <c r="E201" s="51" t="s">
        <v>180</v>
      </c>
      <c r="F201" s="21" t="s">
        <v>24</v>
      </c>
      <c r="G201" s="21" t="s">
        <v>181</v>
      </c>
      <c r="H201" s="58">
        <v>113</v>
      </c>
      <c r="I201" s="27"/>
      <c r="J201" s="22">
        <v>424</v>
      </c>
      <c r="K201" s="23">
        <f>J201*(1-$H$2)</f>
        <v>169.60000000000002</v>
      </c>
      <c r="L201" s="24">
        <f>K201*I201</f>
        <v>0</v>
      </c>
      <c r="M201" s="25">
        <v>1</v>
      </c>
    </row>
    <row r="202" spans="1:13" x14ac:dyDescent="0.3">
      <c r="A202" s="35">
        <v>3876</v>
      </c>
      <c r="B202" s="39" t="s">
        <v>347</v>
      </c>
      <c r="C202" s="41" t="s">
        <v>0</v>
      </c>
      <c r="D202" s="43" t="s">
        <v>313</v>
      </c>
      <c r="E202" s="49" t="s">
        <v>314</v>
      </c>
      <c r="F202" s="55" t="s">
        <v>24</v>
      </c>
      <c r="G202" s="55" t="s">
        <v>315</v>
      </c>
      <c r="H202" s="57">
        <v>85</v>
      </c>
      <c r="I202" s="61"/>
      <c r="J202" s="63">
        <v>368</v>
      </c>
      <c r="K202" s="65">
        <f>J202*(1-$H$2)</f>
        <v>147.20000000000002</v>
      </c>
      <c r="L202" s="67">
        <f>K202*I202</f>
        <v>0</v>
      </c>
      <c r="M202" s="16">
        <v>1</v>
      </c>
    </row>
    <row r="203" spans="1:13" x14ac:dyDescent="0.3">
      <c r="A203" s="35">
        <v>3878</v>
      </c>
      <c r="B203" s="17" t="s">
        <v>348</v>
      </c>
      <c r="C203" s="18" t="s">
        <v>0</v>
      </c>
      <c r="D203" s="45" t="s">
        <v>176</v>
      </c>
      <c r="E203" s="51" t="s">
        <v>177</v>
      </c>
      <c r="F203" s="21" t="s">
        <v>24</v>
      </c>
      <c r="G203" s="21" t="s">
        <v>178</v>
      </c>
      <c r="H203" s="58">
        <v>220</v>
      </c>
      <c r="I203" s="27"/>
      <c r="J203" s="22">
        <v>424</v>
      </c>
      <c r="K203" s="23">
        <f>J203*(1-$H$2)</f>
        <v>169.60000000000002</v>
      </c>
      <c r="L203" s="24">
        <f>K203*I203</f>
        <v>0</v>
      </c>
      <c r="M203" s="25">
        <v>1</v>
      </c>
    </row>
    <row r="204" spans="1:13" x14ac:dyDescent="0.3">
      <c r="A204" s="35">
        <v>3888</v>
      </c>
      <c r="B204" s="17" t="s">
        <v>349</v>
      </c>
      <c r="C204" s="18" t="s">
        <v>0</v>
      </c>
      <c r="D204" s="45" t="s">
        <v>59</v>
      </c>
      <c r="E204" s="51" t="s">
        <v>60</v>
      </c>
      <c r="F204" s="21" t="s">
        <v>31</v>
      </c>
      <c r="G204" s="21" t="s">
        <v>61</v>
      </c>
      <c r="H204" s="58">
        <v>206</v>
      </c>
      <c r="I204" s="27"/>
      <c r="J204" s="22">
        <v>188</v>
      </c>
      <c r="K204" s="23">
        <f>J204*(1-$H$2)</f>
        <v>75.2</v>
      </c>
      <c r="L204" s="24">
        <f>K204*I204</f>
        <v>0</v>
      </c>
      <c r="M204" s="25">
        <v>1</v>
      </c>
    </row>
    <row r="205" spans="1:13" x14ac:dyDescent="0.3">
      <c r="A205" s="35">
        <v>3894</v>
      </c>
      <c r="B205" s="17" t="s">
        <v>350</v>
      </c>
      <c r="C205" s="18" t="s">
        <v>0</v>
      </c>
      <c r="D205" s="45" t="s">
        <v>59</v>
      </c>
      <c r="E205" s="51" t="s">
        <v>60</v>
      </c>
      <c r="F205" s="21" t="s">
        <v>31</v>
      </c>
      <c r="G205" s="21" t="s">
        <v>61</v>
      </c>
      <c r="H205" s="58">
        <v>206</v>
      </c>
      <c r="I205" s="27"/>
      <c r="J205" s="22">
        <v>188</v>
      </c>
      <c r="K205" s="23">
        <f>J205*(1-$H$2)</f>
        <v>75.2</v>
      </c>
      <c r="L205" s="24">
        <f>K205*I205</f>
        <v>0</v>
      </c>
      <c r="M205" s="25">
        <v>1</v>
      </c>
    </row>
    <row r="206" spans="1:13" x14ac:dyDescent="0.3">
      <c r="A206" s="35">
        <v>3902</v>
      </c>
      <c r="B206" s="17" t="s">
        <v>351</v>
      </c>
      <c r="C206" s="18" t="s">
        <v>0</v>
      </c>
      <c r="D206" s="28" t="s">
        <v>352</v>
      </c>
      <c r="E206" s="21" t="s">
        <v>353</v>
      </c>
      <c r="F206" s="21" t="s">
        <v>28</v>
      </c>
      <c r="G206" s="21" t="s">
        <v>354</v>
      </c>
      <c r="H206" s="26">
        <v>56</v>
      </c>
      <c r="I206" s="27"/>
      <c r="J206" s="22">
        <v>245</v>
      </c>
      <c r="K206" s="23">
        <f>J206*(1-$H$2)</f>
        <v>98</v>
      </c>
      <c r="L206" s="24">
        <f>K206*I206</f>
        <v>0</v>
      </c>
      <c r="M206" s="25">
        <v>1</v>
      </c>
    </row>
    <row r="207" spans="1:13" x14ac:dyDescent="0.3">
      <c r="A207" s="35">
        <v>3903</v>
      </c>
      <c r="B207" s="17" t="s">
        <v>351</v>
      </c>
      <c r="C207" s="18" t="s">
        <v>0</v>
      </c>
      <c r="D207" s="45" t="s">
        <v>59</v>
      </c>
      <c r="E207" s="51" t="s">
        <v>60</v>
      </c>
      <c r="F207" s="21" t="s">
        <v>31</v>
      </c>
      <c r="G207" s="21" t="s">
        <v>61</v>
      </c>
      <c r="H207" s="26">
        <v>206</v>
      </c>
      <c r="I207" s="27"/>
      <c r="J207" s="22">
        <v>188</v>
      </c>
      <c r="K207" s="23">
        <f>J207*(1-$H$2)</f>
        <v>75.2</v>
      </c>
      <c r="L207" s="24">
        <f>K207*I207</f>
        <v>0</v>
      </c>
      <c r="M207" s="25">
        <v>1</v>
      </c>
    </row>
    <row r="208" spans="1:13" x14ac:dyDescent="0.3">
      <c r="A208" s="35">
        <v>3934</v>
      </c>
      <c r="B208" s="17" t="s">
        <v>355</v>
      </c>
      <c r="C208" s="18" t="s">
        <v>0</v>
      </c>
      <c r="D208" s="45" t="s">
        <v>71</v>
      </c>
      <c r="E208" s="51" t="s">
        <v>72</v>
      </c>
      <c r="F208" s="21" t="s">
        <v>18</v>
      </c>
      <c r="G208" s="21" t="s">
        <v>73</v>
      </c>
      <c r="H208" s="26">
        <v>96</v>
      </c>
      <c r="I208" s="27"/>
      <c r="J208" s="22">
        <v>322</v>
      </c>
      <c r="K208" s="23">
        <f>J208*(1-$H$2)</f>
        <v>128.80000000000001</v>
      </c>
      <c r="L208" s="24">
        <f>K208*I208</f>
        <v>0</v>
      </c>
      <c r="M208" s="25">
        <v>1</v>
      </c>
    </row>
    <row r="209" spans="1:13" x14ac:dyDescent="0.3">
      <c r="A209" s="35">
        <v>3937</v>
      </c>
      <c r="B209" s="17" t="s">
        <v>355</v>
      </c>
      <c r="C209" s="18" t="s">
        <v>0</v>
      </c>
      <c r="D209" s="45" t="s">
        <v>22</v>
      </c>
      <c r="E209" s="51" t="s">
        <v>23</v>
      </c>
      <c r="F209" s="21" t="s">
        <v>24</v>
      </c>
      <c r="G209" s="21" t="s">
        <v>25</v>
      </c>
      <c r="H209" s="26">
        <v>370</v>
      </c>
      <c r="I209" s="27"/>
      <c r="J209" s="22">
        <v>343</v>
      </c>
      <c r="K209" s="23">
        <f>J209*(1-$H$2)</f>
        <v>137.20000000000002</v>
      </c>
      <c r="L209" s="24">
        <f>K209*I209</f>
        <v>0</v>
      </c>
      <c r="M209" s="25">
        <v>1</v>
      </c>
    </row>
    <row r="210" spans="1:13" x14ac:dyDescent="0.3">
      <c r="A210" s="35">
        <v>3944</v>
      </c>
      <c r="B210" s="39" t="s">
        <v>356</v>
      </c>
      <c r="C210" s="41" t="s">
        <v>0</v>
      </c>
      <c r="D210" s="43" t="s">
        <v>75</v>
      </c>
      <c r="E210" s="49" t="s">
        <v>76</v>
      </c>
      <c r="F210" s="55" t="s">
        <v>18</v>
      </c>
      <c r="G210" s="55" t="s">
        <v>77</v>
      </c>
      <c r="H210" s="57">
        <v>88</v>
      </c>
      <c r="I210" s="61"/>
      <c r="J210" s="63">
        <v>333</v>
      </c>
      <c r="K210" s="65">
        <f>J210*(1-$H$2)</f>
        <v>133.20000000000002</v>
      </c>
      <c r="L210" s="67">
        <f>K210*I210</f>
        <v>0</v>
      </c>
      <c r="M210" s="16">
        <v>1</v>
      </c>
    </row>
    <row r="211" spans="1:13" x14ac:dyDescent="0.3">
      <c r="A211" s="35">
        <v>3953</v>
      </c>
      <c r="B211" s="17" t="s">
        <v>357</v>
      </c>
      <c r="C211" s="18" t="s">
        <v>0</v>
      </c>
      <c r="D211" s="45" t="s">
        <v>358</v>
      </c>
      <c r="E211" s="51" t="s">
        <v>359</v>
      </c>
      <c r="F211" s="21" t="s">
        <v>31</v>
      </c>
      <c r="G211" s="21" t="s">
        <v>360</v>
      </c>
      <c r="H211" s="26">
        <v>64</v>
      </c>
      <c r="I211" s="27"/>
      <c r="J211" s="22">
        <v>319</v>
      </c>
      <c r="K211" s="23">
        <f>J211*(1-$H$2)</f>
        <v>127.60000000000001</v>
      </c>
      <c r="L211" s="24">
        <f>K211*I211</f>
        <v>0</v>
      </c>
      <c r="M211" s="25">
        <v>1</v>
      </c>
    </row>
    <row r="212" spans="1:13" x14ac:dyDescent="0.3">
      <c r="A212" s="35">
        <v>3960</v>
      </c>
      <c r="B212" s="17" t="s">
        <v>361</v>
      </c>
      <c r="C212" s="18" t="s">
        <v>0</v>
      </c>
      <c r="D212" s="45" t="s">
        <v>78</v>
      </c>
      <c r="E212" s="51" t="s">
        <v>79</v>
      </c>
      <c r="F212" s="21" t="s">
        <v>18</v>
      </c>
      <c r="G212" s="21" t="s">
        <v>80</v>
      </c>
      <c r="H212" s="58">
        <v>60</v>
      </c>
      <c r="I212" s="27"/>
      <c r="J212" s="22">
        <v>372</v>
      </c>
      <c r="K212" s="23">
        <f>J212*(1-$H$2)</f>
        <v>148.80000000000001</v>
      </c>
      <c r="L212" s="24">
        <f>K212*I212</f>
        <v>0</v>
      </c>
      <c r="M212" s="25">
        <v>1</v>
      </c>
    </row>
    <row r="213" spans="1:13" x14ac:dyDescent="0.3">
      <c r="A213" s="35">
        <v>3971</v>
      </c>
      <c r="B213" s="17" t="s">
        <v>362</v>
      </c>
      <c r="C213" s="18" t="s">
        <v>0</v>
      </c>
      <c r="D213" s="45" t="s">
        <v>71</v>
      </c>
      <c r="E213" s="51" t="s">
        <v>72</v>
      </c>
      <c r="F213" s="21" t="s">
        <v>18</v>
      </c>
      <c r="G213" s="21" t="s">
        <v>73</v>
      </c>
      <c r="H213" s="58">
        <v>96</v>
      </c>
      <c r="I213" s="27"/>
      <c r="J213" s="22">
        <v>322</v>
      </c>
      <c r="K213" s="23">
        <f>J213*(1-$H$2)</f>
        <v>128.80000000000001</v>
      </c>
      <c r="L213" s="24">
        <f>K213*I213</f>
        <v>0</v>
      </c>
      <c r="M213" s="25">
        <v>1</v>
      </c>
    </row>
    <row r="214" spans="1:13" x14ac:dyDescent="0.3">
      <c r="A214" s="35">
        <v>3972</v>
      </c>
      <c r="B214" s="17" t="s">
        <v>362</v>
      </c>
      <c r="C214" s="18" t="s">
        <v>0</v>
      </c>
      <c r="D214" s="45" t="s">
        <v>363</v>
      </c>
      <c r="E214" s="51" t="s">
        <v>364</v>
      </c>
      <c r="F214" s="21" t="s">
        <v>24</v>
      </c>
      <c r="G214" s="21" t="s">
        <v>365</v>
      </c>
      <c r="H214" s="58">
        <v>132</v>
      </c>
      <c r="I214" s="27"/>
      <c r="J214" s="22">
        <v>479</v>
      </c>
      <c r="K214" s="23">
        <f>J214*(1-$H$2)</f>
        <v>191.60000000000002</v>
      </c>
      <c r="L214" s="24">
        <f>K214*I214</f>
        <v>0</v>
      </c>
      <c r="M214" s="25">
        <v>1</v>
      </c>
    </row>
    <row r="215" spans="1:13" x14ac:dyDescent="0.3">
      <c r="A215" s="35">
        <v>3979</v>
      </c>
      <c r="B215" s="17" t="s">
        <v>366</v>
      </c>
      <c r="C215" s="18" t="s">
        <v>0</v>
      </c>
      <c r="D215" s="45" t="s">
        <v>16</v>
      </c>
      <c r="E215" s="51" t="s">
        <v>17</v>
      </c>
      <c r="F215" s="21" t="s">
        <v>18</v>
      </c>
      <c r="G215" s="21" t="s">
        <v>19</v>
      </c>
      <c r="H215" s="58">
        <v>64</v>
      </c>
      <c r="I215" s="27"/>
      <c r="J215" s="22">
        <v>291</v>
      </c>
      <c r="K215" s="23">
        <f>J215*(1-$H$2)</f>
        <v>116.4</v>
      </c>
      <c r="L215" s="24">
        <f>K215*I215</f>
        <v>0</v>
      </c>
      <c r="M215" s="25">
        <v>1</v>
      </c>
    </row>
    <row r="216" spans="1:13" x14ac:dyDescent="0.3">
      <c r="A216" s="35">
        <v>3982</v>
      </c>
      <c r="B216" s="39" t="s">
        <v>366</v>
      </c>
      <c r="C216" s="41" t="s">
        <v>0</v>
      </c>
      <c r="D216" s="43" t="s">
        <v>22</v>
      </c>
      <c r="E216" s="49" t="s">
        <v>23</v>
      </c>
      <c r="F216" s="55" t="s">
        <v>24</v>
      </c>
      <c r="G216" s="55" t="s">
        <v>25</v>
      </c>
      <c r="H216" s="57">
        <v>370</v>
      </c>
      <c r="I216" s="61"/>
      <c r="J216" s="63">
        <v>343</v>
      </c>
      <c r="K216" s="65">
        <f>J216*(1-$H$2)</f>
        <v>137.20000000000002</v>
      </c>
      <c r="L216" s="67">
        <f>K216*I216</f>
        <v>0</v>
      </c>
      <c r="M216" s="16">
        <v>1</v>
      </c>
    </row>
    <row r="217" spans="1:13" x14ac:dyDescent="0.3">
      <c r="A217" s="35">
        <v>3984</v>
      </c>
      <c r="B217" s="39" t="s">
        <v>367</v>
      </c>
      <c r="C217" s="41" t="s">
        <v>0</v>
      </c>
      <c r="D217" s="43" t="s">
        <v>71</v>
      </c>
      <c r="E217" s="49" t="s">
        <v>72</v>
      </c>
      <c r="F217" s="55" t="s">
        <v>18</v>
      </c>
      <c r="G217" s="55" t="s">
        <v>73</v>
      </c>
      <c r="H217" s="57">
        <v>96</v>
      </c>
      <c r="I217" s="61"/>
      <c r="J217" s="63">
        <v>322</v>
      </c>
      <c r="K217" s="65">
        <f>J217*(1-$H$2)</f>
        <v>128.80000000000001</v>
      </c>
      <c r="L217" s="67">
        <f>K217*I217</f>
        <v>0</v>
      </c>
      <c r="M217" s="16">
        <v>1</v>
      </c>
    </row>
    <row r="218" spans="1:13" x14ac:dyDescent="0.3">
      <c r="A218" s="35">
        <v>3985</v>
      </c>
      <c r="B218" s="39" t="s">
        <v>367</v>
      </c>
      <c r="C218" s="41" t="s">
        <v>0</v>
      </c>
      <c r="D218" s="43" t="s">
        <v>363</v>
      </c>
      <c r="E218" s="49" t="s">
        <v>364</v>
      </c>
      <c r="F218" s="55" t="s">
        <v>24</v>
      </c>
      <c r="G218" s="55" t="s">
        <v>365</v>
      </c>
      <c r="H218" s="57">
        <v>132</v>
      </c>
      <c r="I218" s="61"/>
      <c r="J218" s="63">
        <v>479</v>
      </c>
      <c r="K218" s="65">
        <f>J218*(1-$H$2)</f>
        <v>191.60000000000002</v>
      </c>
      <c r="L218" s="67">
        <f>K218*I218</f>
        <v>0</v>
      </c>
      <c r="M218" s="16">
        <v>1</v>
      </c>
    </row>
    <row r="219" spans="1:13" x14ac:dyDescent="0.3">
      <c r="A219" s="35">
        <v>3992</v>
      </c>
      <c r="B219" s="39" t="s">
        <v>368</v>
      </c>
      <c r="C219" s="41" t="s">
        <v>0</v>
      </c>
      <c r="D219" s="43" t="s">
        <v>59</v>
      </c>
      <c r="E219" s="49" t="s">
        <v>60</v>
      </c>
      <c r="F219" s="55" t="s">
        <v>31</v>
      </c>
      <c r="G219" s="55" t="s">
        <v>61</v>
      </c>
      <c r="H219" s="57">
        <v>206</v>
      </c>
      <c r="I219" s="61"/>
      <c r="J219" s="63">
        <v>188</v>
      </c>
      <c r="K219" s="65">
        <f>J219*(1-$H$2)</f>
        <v>75.2</v>
      </c>
      <c r="L219" s="67">
        <f>K219*I219</f>
        <v>0</v>
      </c>
      <c r="M219" s="16">
        <v>1</v>
      </c>
    </row>
    <row r="220" spans="1:13" x14ac:dyDescent="0.3">
      <c r="A220" s="35">
        <v>3995</v>
      </c>
      <c r="B220" s="39" t="s">
        <v>369</v>
      </c>
      <c r="C220" s="41" t="s">
        <v>0</v>
      </c>
      <c r="D220" s="43" t="s">
        <v>16</v>
      </c>
      <c r="E220" s="49" t="s">
        <v>17</v>
      </c>
      <c r="F220" s="55" t="s">
        <v>18</v>
      </c>
      <c r="G220" s="55" t="s">
        <v>19</v>
      </c>
      <c r="H220" s="57">
        <v>64</v>
      </c>
      <c r="I220" s="61"/>
      <c r="J220" s="63">
        <v>291</v>
      </c>
      <c r="K220" s="65">
        <f>J220*(1-$H$2)</f>
        <v>116.4</v>
      </c>
      <c r="L220" s="67">
        <f>K220*I220</f>
        <v>0</v>
      </c>
      <c r="M220" s="16">
        <v>1</v>
      </c>
    </row>
    <row r="221" spans="1:13" x14ac:dyDescent="0.3">
      <c r="A221" s="35">
        <v>3998</v>
      </c>
      <c r="B221" s="17" t="s">
        <v>369</v>
      </c>
      <c r="C221" s="18" t="s">
        <v>0</v>
      </c>
      <c r="D221" s="19" t="s">
        <v>22</v>
      </c>
      <c r="E221" s="20" t="s">
        <v>23</v>
      </c>
      <c r="F221" s="21" t="s">
        <v>24</v>
      </c>
      <c r="G221" s="21" t="s">
        <v>25</v>
      </c>
      <c r="H221" s="26">
        <v>370</v>
      </c>
      <c r="I221" s="27"/>
      <c r="J221" s="22">
        <v>343</v>
      </c>
      <c r="K221" s="23">
        <f>J221*(1-$H$2)</f>
        <v>137.20000000000002</v>
      </c>
      <c r="L221" s="24">
        <f>K221*I221</f>
        <v>0</v>
      </c>
      <c r="M221" s="25">
        <v>0</v>
      </c>
    </row>
    <row r="222" spans="1:13" x14ac:dyDescent="0.3">
      <c r="A222" s="35">
        <v>3999</v>
      </c>
      <c r="B222" s="17" t="s">
        <v>369</v>
      </c>
      <c r="C222" s="18" t="s">
        <v>0</v>
      </c>
      <c r="D222" s="19" t="s">
        <v>26</v>
      </c>
      <c r="E222" s="20" t="s">
        <v>27</v>
      </c>
      <c r="F222" s="21" t="s">
        <v>28</v>
      </c>
      <c r="G222" s="21" t="s">
        <v>21</v>
      </c>
      <c r="H222" s="26">
        <v>50</v>
      </c>
      <c r="I222" s="27"/>
      <c r="J222" s="22">
        <v>358</v>
      </c>
      <c r="K222" s="23">
        <f>J222*(1-$H$2)</f>
        <v>143.20000000000002</v>
      </c>
      <c r="L222" s="24">
        <f>K222*I222</f>
        <v>0</v>
      </c>
      <c r="M222" s="25">
        <v>0</v>
      </c>
    </row>
    <row r="223" spans="1:13" x14ac:dyDescent="0.3">
      <c r="A223" s="35">
        <v>4001</v>
      </c>
      <c r="B223" s="17" t="s">
        <v>369</v>
      </c>
      <c r="C223" s="18" t="s">
        <v>0</v>
      </c>
      <c r="D223" s="19" t="s">
        <v>29</v>
      </c>
      <c r="E223" s="20" t="s">
        <v>30</v>
      </c>
      <c r="F223" s="21" t="s">
        <v>31</v>
      </c>
      <c r="G223" s="21" t="s">
        <v>21</v>
      </c>
      <c r="H223" s="26">
        <v>52</v>
      </c>
      <c r="I223" s="27"/>
      <c r="J223" s="22">
        <v>448</v>
      </c>
      <c r="K223" s="23">
        <f>J223*(1-$H$2)</f>
        <v>179.20000000000002</v>
      </c>
      <c r="L223" s="24">
        <f>K223*I223</f>
        <v>0</v>
      </c>
      <c r="M223" s="25">
        <v>0</v>
      </c>
    </row>
    <row r="224" spans="1:13" x14ac:dyDescent="0.3">
      <c r="A224" s="35">
        <v>4002</v>
      </c>
      <c r="B224" s="17" t="s">
        <v>369</v>
      </c>
      <c r="C224" s="18" t="s">
        <v>0</v>
      </c>
      <c r="D224" s="19" t="s">
        <v>32</v>
      </c>
      <c r="E224" s="20" t="s">
        <v>33</v>
      </c>
      <c r="F224" s="21" t="s">
        <v>31</v>
      </c>
      <c r="G224" s="21" t="s">
        <v>21</v>
      </c>
      <c r="H224" s="26">
        <v>52</v>
      </c>
      <c r="I224" s="27"/>
      <c r="J224" s="22">
        <v>448</v>
      </c>
      <c r="K224" s="23">
        <f>J224*(1-$H$2)</f>
        <v>179.20000000000002</v>
      </c>
      <c r="L224" s="24">
        <f>K224*I224</f>
        <v>0</v>
      </c>
      <c r="M224" s="25">
        <v>0</v>
      </c>
    </row>
    <row r="225" spans="1:13" x14ac:dyDescent="0.3">
      <c r="A225" s="35">
        <v>4009</v>
      </c>
      <c r="B225" s="17" t="s">
        <v>370</v>
      </c>
      <c r="C225" s="18" t="s">
        <v>0</v>
      </c>
      <c r="D225" s="44" t="s">
        <v>371</v>
      </c>
      <c r="E225" s="50" t="s">
        <v>372</v>
      </c>
      <c r="F225" s="21" t="s">
        <v>18</v>
      </c>
      <c r="G225" s="21" t="s">
        <v>373</v>
      </c>
      <c r="H225" s="26">
        <v>52</v>
      </c>
      <c r="I225" s="27"/>
      <c r="J225" s="22">
        <v>643</v>
      </c>
      <c r="K225" s="23">
        <f>J225*(1-$H$2)</f>
        <v>257.2</v>
      </c>
      <c r="L225" s="24">
        <f>K225*I225</f>
        <v>0</v>
      </c>
      <c r="M225" s="25">
        <v>0</v>
      </c>
    </row>
    <row r="226" spans="1:13" x14ac:dyDescent="0.3">
      <c r="A226" s="35">
        <v>4036</v>
      </c>
      <c r="B226" s="39" t="s">
        <v>374</v>
      </c>
      <c r="C226" s="41" t="s">
        <v>0</v>
      </c>
      <c r="D226" s="43" t="s">
        <v>134</v>
      </c>
      <c r="E226" s="49" t="s">
        <v>135</v>
      </c>
      <c r="F226" s="55" t="s">
        <v>31</v>
      </c>
      <c r="G226" s="55" t="s">
        <v>136</v>
      </c>
      <c r="H226" s="57">
        <v>83</v>
      </c>
      <c r="I226" s="61"/>
      <c r="J226" s="63">
        <v>238</v>
      </c>
      <c r="K226" s="65">
        <f>J226*(1-$H$2)</f>
        <v>95.2</v>
      </c>
      <c r="L226" s="67">
        <f>K226*I226</f>
        <v>0</v>
      </c>
      <c r="M226" s="16">
        <v>1</v>
      </c>
    </row>
    <row r="227" spans="1:13" x14ac:dyDescent="0.3">
      <c r="A227" s="35">
        <v>4037</v>
      </c>
      <c r="B227" s="39" t="s">
        <v>374</v>
      </c>
      <c r="C227" s="41" t="s">
        <v>0</v>
      </c>
      <c r="D227" s="43" t="s">
        <v>137</v>
      </c>
      <c r="E227" s="49" t="s">
        <v>138</v>
      </c>
      <c r="F227" s="55" t="s">
        <v>31</v>
      </c>
      <c r="G227" s="55" t="s">
        <v>136</v>
      </c>
      <c r="H227" s="57">
        <v>83</v>
      </c>
      <c r="I227" s="61"/>
      <c r="J227" s="63">
        <v>238</v>
      </c>
      <c r="K227" s="65">
        <f>J227*(1-$H$2)</f>
        <v>95.2</v>
      </c>
      <c r="L227" s="67">
        <f>K227*I227</f>
        <v>0</v>
      </c>
      <c r="M227" s="16">
        <v>1</v>
      </c>
    </row>
    <row r="228" spans="1:13" x14ac:dyDescent="0.3">
      <c r="A228" s="35">
        <v>4065</v>
      </c>
      <c r="B228" s="39" t="s">
        <v>375</v>
      </c>
      <c r="C228" s="41" t="s">
        <v>0</v>
      </c>
      <c r="D228" s="43" t="s">
        <v>78</v>
      </c>
      <c r="E228" s="49" t="s">
        <v>79</v>
      </c>
      <c r="F228" s="55" t="s">
        <v>18</v>
      </c>
      <c r="G228" s="55" t="s">
        <v>80</v>
      </c>
      <c r="H228" s="57">
        <v>60</v>
      </c>
      <c r="I228" s="61"/>
      <c r="J228" s="63">
        <v>372</v>
      </c>
      <c r="K228" s="65">
        <f>J228*(1-$H$2)</f>
        <v>148.80000000000001</v>
      </c>
      <c r="L228" s="67">
        <f>K228*I228</f>
        <v>0</v>
      </c>
      <c r="M228" s="16">
        <v>1</v>
      </c>
    </row>
    <row r="229" spans="1:13" x14ac:dyDescent="0.3">
      <c r="A229" s="35">
        <v>4072</v>
      </c>
      <c r="B229" s="39" t="s">
        <v>376</v>
      </c>
      <c r="C229" s="41" t="s">
        <v>0</v>
      </c>
      <c r="D229" s="43" t="s">
        <v>59</v>
      </c>
      <c r="E229" s="49" t="s">
        <v>60</v>
      </c>
      <c r="F229" s="55" t="s">
        <v>31</v>
      </c>
      <c r="G229" s="55" t="s">
        <v>61</v>
      </c>
      <c r="H229" s="57">
        <v>206</v>
      </c>
      <c r="I229" s="61"/>
      <c r="J229" s="63">
        <v>188</v>
      </c>
      <c r="K229" s="65">
        <f>J229*(1-$H$2)</f>
        <v>75.2</v>
      </c>
      <c r="L229" s="67">
        <f>K229*I229</f>
        <v>0</v>
      </c>
      <c r="M229" s="16">
        <v>1</v>
      </c>
    </row>
    <row r="230" spans="1:13" x14ac:dyDescent="0.3">
      <c r="A230" s="35">
        <v>4073</v>
      </c>
      <c r="B230" s="39" t="s">
        <v>377</v>
      </c>
      <c r="C230" s="41" t="s">
        <v>0</v>
      </c>
      <c r="D230" s="43" t="s">
        <v>63</v>
      </c>
      <c r="E230" s="49" t="s">
        <v>64</v>
      </c>
      <c r="F230" s="55" t="s">
        <v>18</v>
      </c>
      <c r="G230" s="55" t="s">
        <v>65</v>
      </c>
      <c r="H230" s="57">
        <v>70</v>
      </c>
      <c r="I230" s="61"/>
      <c r="J230" s="63">
        <v>196</v>
      </c>
      <c r="K230" s="65">
        <f>J230*(1-$H$2)</f>
        <v>78.400000000000006</v>
      </c>
      <c r="L230" s="67">
        <f>K230*I230</f>
        <v>0</v>
      </c>
      <c r="M230" s="16">
        <v>1</v>
      </c>
    </row>
    <row r="231" spans="1:13" x14ac:dyDescent="0.3">
      <c r="A231" s="35">
        <v>4074</v>
      </c>
      <c r="B231" s="39" t="s">
        <v>377</v>
      </c>
      <c r="C231" s="41" t="s">
        <v>0</v>
      </c>
      <c r="D231" s="43" t="s">
        <v>378</v>
      </c>
      <c r="E231" s="49" t="s">
        <v>379</v>
      </c>
      <c r="F231" s="55" t="s">
        <v>28</v>
      </c>
      <c r="G231" s="55" t="s">
        <v>380</v>
      </c>
      <c r="H231" s="57">
        <v>58</v>
      </c>
      <c r="I231" s="61"/>
      <c r="J231" s="63">
        <v>259</v>
      </c>
      <c r="K231" s="65">
        <f>J231*(1-$H$2)</f>
        <v>103.60000000000001</v>
      </c>
      <c r="L231" s="67">
        <f>K231*I231</f>
        <v>0</v>
      </c>
      <c r="M231" s="16">
        <v>1</v>
      </c>
    </row>
    <row r="232" spans="1:13" x14ac:dyDescent="0.3">
      <c r="A232" s="35">
        <v>4076</v>
      </c>
      <c r="B232" s="39" t="s">
        <v>381</v>
      </c>
      <c r="C232" s="41" t="s">
        <v>0</v>
      </c>
      <c r="D232" s="43" t="s">
        <v>358</v>
      </c>
      <c r="E232" s="49" t="s">
        <v>359</v>
      </c>
      <c r="F232" s="55" t="s">
        <v>31</v>
      </c>
      <c r="G232" s="55" t="s">
        <v>360</v>
      </c>
      <c r="H232" s="57">
        <v>64</v>
      </c>
      <c r="I232" s="61"/>
      <c r="J232" s="63">
        <v>319</v>
      </c>
      <c r="K232" s="65">
        <f>J232*(1-$H$2)</f>
        <v>127.60000000000001</v>
      </c>
      <c r="L232" s="67">
        <f>K232*I232</f>
        <v>0</v>
      </c>
      <c r="M232" s="16">
        <v>1</v>
      </c>
    </row>
    <row r="233" spans="1:13" x14ac:dyDescent="0.3">
      <c r="A233" s="35">
        <v>4078</v>
      </c>
      <c r="B233" s="39" t="s">
        <v>382</v>
      </c>
      <c r="C233" s="41" t="s">
        <v>0</v>
      </c>
      <c r="D233" s="43" t="s">
        <v>358</v>
      </c>
      <c r="E233" s="49" t="s">
        <v>359</v>
      </c>
      <c r="F233" s="55" t="s">
        <v>31</v>
      </c>
      <c r="G233" s="55" t="s">
        <v>360</v>
      </c>
      <c r="H233" s="57">
        <v>64</v>
      </c>
      <c r="I233" s="61"/>
      <c r="J233" s="63">
        <v>319</v>
      </c>
      <c r="K233" s="65">
        <f>J233*(1-$H$2)</f>
        <v>127.60000000000001</v>
      </c>
      <c r="L233" s="67">
        <f>K233*I233</f>
        <v>0</v>
      </c>
      <c r="M233" s="16">
        <v>1</v>
      </c>
    </row>
    <row r="234" spans="1:13" x14ac:dyDescent="0.3">
      <c r="A234" s="35">
        <v>4121</v>
      </c>
      <c r="B234" s="6" t="s">
        <v>383</v>
      </c>
      <c r="C234" s="7" t="s">
        <v>0</v>
      </c>
      <c r="D234" s="8" t="s">
        <v>358</v>
      </c>
      <c r="E234" s="9" t="s">
        <v>359</v>
      </c>
      <c r="F234" s="10" t="s">
        <v>31</v>
      </c>
      <c r="G234" s="10" t="s">
        <v>360</v>
      </c>
      <c r="H234" s="11">
        <v>64</v>
      </c>
      <c r="I234" s="12"/>
      <c r="J234" s="13">
        <v>319</v>
      </c>
      <c r="K234" s="14">
        <f>J234*(1-$H$2)</f>
        <v>127.60000000000001</v>
      </c>
      <c r="L234" s="15">
        <f>K234*I234</f>
        <v>0</v>
      </c>
      <c r="M234" s="16">
        <v>1</v>
      </c>
    </row>
    <row r="235" spans="1:13" x14ac:dyDescent="0.3">
      <c r="A235" s="35">
        <v>4125</v>
      </c>
      <c r="B235" s="39" t="s">
        <v>384</v>
      </c>
      <c r="C235" s="41" t="s">
        <v>0</v>
      </c>
      <c r="D235" s="43" t="s">
        <v>75</v>
      </c>
      <c r="E235" s="49" t="s">
        <v>76</v>
      </c>
      <c r="F235" s="55" t="s">
        <v>18</v>
      </c>
      <c r="G235" s="55" t="s">
        <v>77</v>
      </c>
      <c r="H235" s="57">
        <v>88</v>
      </c>
      <c r="I235" s="61"/>
      <c r="J235" s="63">
        <v>333</v>
      </c>
      <c r="K235" s="65">
        <f>J235*(1-$H$2)</f>
        <v>133.20000000000002</v>
      </c>
      <c r="L235" s="67">
        <f>K235*I235</f>
        <v>0</v>
      </c>
      <c r="M235" s="16">
        <v>1</v>
      </c>
    </row>
    <row r="236" spans="1:13" x14ac:dyDescent="0.3">
      <c r="A236" s="35">
        <v>4139</v>
      </c>
      <c r="B236" s="39" t="s">
        <v>385</v>
      </c>
      <c r="C236" s="41" t="s">
        <v>0</v>
      </c>
      <c r="D236" s="43" t="s">
        <v>59</v>
      </c>
      <c r="E236" s="49" t="s">
        <v>60</v>
      </c>
      <c r="F236" s="55" t="s">
        <v>31</v>
      </c>
      <c r="G236" s="55" t="s">
        <v>61</v>
      </c>
      <c r="H236" s="57">
        <v>206</v>
      </c>
      <c r="I236" s="61"/>
      <c r="J236" s="63">
        <v>188</v>
      </c>
      <c r="K236" s="65">
        <f>J236*(1-$H$2)</f>
        <v>75.2</v>
      </c>
      <c r="L236" s="67">
        <f>K236*I236</f>
        <v>0</v>
      </c>
      <c r="M236" s="16">
        <v>1</v>
      </c>
    </row>
    <row r="237" spans="1:13" x14ac:dyDescent="0.3">
      <c r="A237" s="35">
        <v>4140</v>
      </c>
      <c r="B237" s="6" t="s">
        <v>386</v>
      </c>
      <c r="C237" s="7" t="s">
        <v>0</v>
      </c>
      <c r="D237" s="8" t="s">
        <v>243</v>
      </c>
      <c r="E237" s="9" t="s">
        <v>244</v>
      </c>
      <c r="F237" s="10" t="s">
        <v>18</v>
      </c>
      <c r="G237" s="10" t="s">
        <v>245</v>
      </c>
      <c r="H237" s="11">
        <v>57</v>
      </c>
      <c r="I237" s="12"/>
      <c r="J237" s="13">
        <v>372</v>
      </c>
      <c r="K237" s="14">
        <f>J237*(1-$H$2)</f>
        <v>148.80000000000001</v>
      </c>
      <c r="L237" s="15">
        <f>K237*I237</f>
        <v>0</v>
      </c>
      <c r="M237" s="16">
        <v>1</v>
      </c>
    </row>
    <row r="238" spans="1:13" x14ac:dyDescent="0.3">
      <c r="A238" s="35">
        <v>4142</v>
      </c>
      <c r="B238" s="6" t="s">
        <v>386</v>
      </c>
      <c r="C238" s="7" t="s">
        <v>0</v>
      </c>
      <c r="D238" s="8" t="s">
        <v>246</v>
      </c>
      <c r="E238" s="9" t="s">
        <v>247</v>
      </c>
      <c r="F238" s="10" t="s">
        <v>31</v>
      </c>
      <c r="G238" s="10" t="s">
        <v>245</v>
      </c>
      <c r="H238" s="11">
        <v>65</v>
      </c>
      <c r="I238" s="12"/>
      <c r="J238" s="13">
        <v>302</v>
      </c>
      <c r="K238" s="14">
        <f>J238*(1-$H$2)</f>
        <v>120.80000000000001</v>
      </c>
      <c r="L238" s="15">
        <f>K238*I238</f>
        <v>0</v>
      </c>
      <c r="M238" s="16">
        <v>1</v>
      </c>
    </row>
    <row r="239" spans="1:13" x14ac:dyDescent="0.3">
      <c r="A239" s="35">
        <v>4144</v>
      </c>
      <c r="B239" s="17" t="s">
        <v>387</v>
      </c>
      <c r="C239" s="18" t="s">
        <v>0</v>
      </c>
      <c r="D239" s="28" t="s">
        <v>388</v>
      </c>
      <c r="E239" s="21" t="s">
        <v>389</v>
      </c>
      <c r="F239" s="21" t="s">
        <v>28</v>
      </c>
      <c r="G239" s="21" t="s">
        <v>390</v>
      </c>
      <c r="H239" s="26">
        <v>58</v>
      </c>
      <c r="I239" s="27"/>
      <c r="J239" s="22">
        <v>294</v>
      </c>
      <c r="K239" s="23">
        <f>J239*(1-$H$2)</f>
        <v>117.60000000000001</v>
      </c>
      <c r="L239" s="24">
        <f>K239*I239</f>
        <v>0</v>
      </c>
      <c r="M239" s="25">
        <v>1</v>
      </c>
    </row>
    <row r="240" spans="1:13" x14ac:dyDescent="0.3">
      <c r="A240" s="35">
        <v>4183</v>
      </c>
      <c r="B240" s="6" t="s">
        <v>391</v>
      </c>
      <c r="C240" s="7" t="s">
        <v>0</v>
      </c>
      <c r="D240" s="8" t="s">
        <v>363</v>
      </c>
      <c r="E240" s="9" t="s">
        <v>364</v>
      </c>
      <c r="F240" s="10" t="s">
        <v>24</v>
      </c>
      <c r="G240" s="10" t="s">
        <v>365</v>
      </c>
      <c r="H240" s="11">
        <v>132</v>
      </c>
      <c r="I240" s="12"/>
      <c r="J240" s="13">
        <v>479</v>
      </c>
      <c r="K240" s="14">
        <f>J240*(1-$H$2)</f>
        <v>191.60000000000002</v>
      </c>
      <c r="L240" s="15">
        <f>K240*I240</f>
        <v>0</v>
      </c>
      <c r="M240" s="16">
        <v>1</v>
      </c>
    </row>
    <row r="241" spans="1:13" x14ac:dyDescent="0.3">
      <c r="A241" s="35">
        <v>4187</v>
      </c>
      <c r="B241" s="39" t="s">
        <v>391</v>
      </c>
      <c r="C241" s="41" t="s">
        <v>0</v>
      </c>
      <c r="D241" s="43" t="s">
        <v>96</v>
      </c>
      <c r="E241" s="49" t="s">
        <v>97</v>
      </c>
      <c r="F241" s="55" t="s">
        <v>39</v>
      </c>
      <c r="G241" s="55" t="s">
        <v>98</v>
      </c>
      <c r="H241" s="57">
        <v>64</v>
      </c>
      <c r="I241" s="61"/>
      <c r="J241" s="63">
        <v>291</v>
      </c>
      <c r="K241" s="65">
        <f>J241*(1-$H$2)</f>
        <v>116.4</v>
      </c>
      <c r="L241" s="67">
        <f>K241*I241</f>
        <v>0</v>
      </c>
      <c r="M241" s="16">
        <v>1</v>
      </c>
    </row>
    <row r="242" spans="1:13" x14ac:dyDescent="0.3">
      <c r="A242" s="35">
        <v>4198</v>
      </c>
      <c r="B242" s="39" t="s">
        <v>392</v>
      </c>
      <c r="C242" s="41" t="s">
        <v>0</v>
      </c>
      <c r="D242" s="43" t="s">
        <v>59</v>
      </c>
      <c r="E242" s="49" t="s">
        <v>60</v>
      </c>
      <c r="F242" s="55" t="s">
        <v>31</v>
      </c>
      <c r="G242" s="55" t="s">
        <v>61</v>
      </c>
      <c r="H242" s="57">
        <v>206</v>
      </c>
      <c r="I242" s="61"/>
      <c r="J242" s="63">
        <v>188</v>
      </c>
      <c r="K242" s="65">
        <f>J242*(1-$H$2)</f>
        <v>75.2</v>
      </c>
      <c r="L242" s="67">
        <f>K242*I242</f>
        <v>0</v>
      </c>
      <c r="M242" s="16">
        <v>1</v>
      </c>
    </row>
    <row r="243" spans="1:13" x14ac:dyDescent="0.3">
      <c r="A243" s="35">
        <v>4200</v>
      </c>
      <c r="B243" s="39" t="s">
        <v>393</v>
      </c>
      <c r="C243" s="41" t="s">
        <v>0</v>
      </c>
      <c r="D243" s="43" t="s">
        <v>378</v>
      </c>
      <c r="E243" s="49" t="s">
        <v>379</v>
      </c>
      <c r="F243" s="55" t="s">
        <v>28</v>
      </c>
      <c r="G243" s="55" t="s">
        <v>380</v>
      </c>
      <c r="H243" s="57">
        <v>58</v>
      </c>
      <c r="I243" s="61"/>
      <c r="J243" s="63">
        <v>259</v>
      </c>
      <c r="K243" s="65">
        <f>J243*(1-$H$2)</f>
        <v>103.60000000000001</v>
      </c>
      <c r="L243" s="67">
        <f>K243*I243</f>
        <v>0</v>
      </c>
      <c r="M243" s="16">
        <v>1</v>
      </c>
    </row>
    <row r="244" spans="1:13" x14ac:dyDescent="0.3">
      <c r="A244" s="35">
        <v>4201</v>
      </c>
      <c r="B244" s="17" t="s">
        <v>394</v>
      </c>
      <c r="C244" s="18" t="s">
        <v>0</v>
      </c>
      <c r="D244" s="45" t="s">
        <v>63</v>
      </c>
      <c r="E244" s="51" t="s">
        <v>64</v>
      </c>
      <c r="F244" s="21" t="s">
        <v>18</v>
      </c>
      <c r="G244" s="21" t="s">
        <v>65</v>
      </c>
      <c r="H244" s="26">
        <v>70</v>
      </c>
      <c r="I244" s="27"/>
      <c r="J244" s="22">
        <v>196</v>
      </c>
      <c r="K244" s="23">
        <f>J244*(1-$H$2)</f>
        <v>78.400000000000006</v>
      </c>
      <c r="L244" s="24">
        <f>K244*I244</f>
        <v>0</v>
      </c>
      <c r="M244" s="25">
        <v>1</v>
      </c>
    </row>
    <row r="245" spans="1:13" x14ac:dyDescent="0.3">
      <c r="A245" s="35">
        <v>4202</v>
      </c>
      <c r="B245" s="6" t="s">
        <v>394</v>
      </c>
      <c r="C245" s="7" t="s">
        <v>0</v>
      </c>
      <c r="D245" s="8" t="s">
        <v>378</v>
      </c>
      <c r="E245" s="9" t="s">
        <v>379</v>
      </c>
      <c r="F245" s="10" t="s">
        <v>28</v>
      </c>
      <c r="G245" s="10" t="s">
        <v>380</v>
      </c>
      <c r="H245" s="11">
        <v>58</v>
      </c>
      <c r="I245" s="12"/>
      <c r="J245" s="13">
        <v>259</v>
      </c>
      <c r="K245" s="14">
        <f>J245*(1-$H$2)</f>
        <v>103.60000000000001</v>
      </c>
      <c r="L245" s="15">
        <f>K245*I245</f>
        <v>0</v>
      </c>
      <c r="M245" s="16">
        <v>1</v>
      </c>
    </row>
    <row r="246" spans="1:13" x14ac:dyDescent="0.3">
      <c r="A246" s="35">
        <v>4203</v>
      </c>
      <c r="B246" s="39" t="s">
        <v>394</v>
      </c>
      <c r="C246" s="41" t="s">
        <v>0</v>
      </c>
      <c r="D246" s="43" t="s">
        <v>59</v>
      </c>
      <c r="E246" s="49" t="s">
        <v>60</v>
      </c>
      <c r="F246" s="55" t="s">
        <v>31</v>
      </c>
      <c r="G246" s="55" t="s">
        <v>61</v>
      </c>
      <c r="H246" s="57">
        <v>206</v>
      </c>
      <c r="I246" s="61"/>
      <c r="J246" s="63">
        <v>188</v>
      </c>
      <c r="K246" s="65">
        <f>J246*(1-$H$2)</f>
        <v>75.2</v>
      </c>
      <c r="L246" s="67">
        <f>K246*I246</f>
        <v>0</v>
      </c>
      <c r="M246" s="16">
        <v>1</v>
      </c>
    </row>
    <row r="247" spans="1:13" x14ac:dyDescent="0.3">
      <c r="A247" s="35">
        <v>4206</v>
      </c>
      <c r="B247" s="39" t="s">
        <v>395</v>
      </c>
      <c r="C247" s="41" t="s">
        <v>0</v>
      </c>
      <c r="D247" s="43" t="s">
        <v>59</v>
      </c>
      <c r="E247" s="49" t="s">
        <v>60</v>
      </c>
      <c r="F247" s="55" t="s">
        <v>31</v>
      </c>
      <c r="G247" s="55" t="s">
        <v>61</v>
      </c>
      <c r="H247" s="57">
        <v>206</v>
      </c>
      <c r="I247" s="61"/>
      <c r="J247" s="63">
        <v>188</v>
      </c>
      <c r="K247" s="65">
        <f>J247*(1-$H$2)</f>
        <v>75.2</v>
      </c>
      <c r="L247" s="67">
        <f>K247*I247</f>
        <v>0</v>
      </c>
      <c r="M247" s="16">
        <v>1</v>
      </c>
    </row>
    <row r="248" spans="1:13" x14ac:dyDescent="0.3">
      <c r="A248" s="35">
        <v>4215</v>
      </c>
      <c r="B248" s="39" t="s">
        <v>396</v>
      </c>
      <c r="C248" s="41" t="s">
        <v>0</v>
      </c>
      <c r="D248" s="43" t="s">
        <v>63</v>
      </c>
      <c r="E248" s="49" t="s">
        <v>64</v>
      </c>
      <c r="F248" s="55" t="s">
        <v>18</v>
      </c>
      <c r="G248" s="55" t="s">
        <v>65</v>
      </c>
      <c r="H248" s="57">
        <v>70</v>
      </c>
      <c r="I248" s="61"/>
      <c r="J248" s="63">
        <v>196</v>
      </c>
      <c r="K248" s="65">
        <f>J248*(1-$H$2)</f>
        <v>78.400000000000006</v>
      </c>
      <c r="L248" s="67">
        <f>K248*I248</f>
        <v>0</v>
      </c>
      <c r="M248" s="16">
        <v>1</v>
      </c>
    </row>
    <row r="249" spans="1:13" x14ac:dyDescent="0.3">
      <c r="A249" s="35">
        <v>4221</v>
      </c>
      <c r="B249" s="17" t="s">
        <v>396</v>
      </c>
      <c r="C249" s="18" t="s">
        <v>0</v>
      </c>
      <c r="D249" s="45" t="s">
        <v>59</v>
      </c>
      <c r="E249" s="51" t="s">
        <v>60</v>
      </c>
      <c r="F249" s="21" t="s">
        <v>31</v>
      </c>
      <c r="G249" s="21" t="s">
        <v>61</v>
      </c>
      <c r="H249" s="26">
        <v>206</v>
      </c>
      <c r="I249" s="27"/>
      <c r="J249" s="22">
        <v>188</v>
      </c>
      <c r="K249" s="23">
        <f>J249*(1-$H$2)</f>
        <v>75.2</v>
      </c>
      <c r="L249" s="24">
        <f>K249*I249</f>
        <v>0</v>
      </c>
      <c r="M249" s="25">
        <v>1</v>
      </c>
    </row>
    <row r="250" spans="1:13" x14ac:dyDescent="0.3">
      <c r="A250" s="35">
        <v>4224</v>
      </c>
      <c r="B250" s="17" t="s">
        <v>397</v>
      </c>
      <c r="C250" s="18" t="s">
        <v>0</v>
      </c>
      <c r="D250" s="45" t="s">
        <v>75</v>
      </c>
      <c r="E250" s="51" t="s">
        <v>76</v>
      </c>
      <c r="F250" s="21" t="s">
        <v>18</v>
      </c>
      <c r="G250" s="21" t="s">
        <v>77</v>
      </c>
      <c r="H250" s="26">
        <v>88</v>
      </c>
      <c r="I250" s="27"/>
      <c r="J250" s="22">
        <v>333</v>
      </c>
      <c r="K250" s="23">
        <f>J250*(1-$H$2)</f>
        <v>133.20000000000002</v>
      </c>
      <c r="L250" s="24">
        <f>K250*I250</f>
        <v>0</v>
      </c>
      <c r="M250" s="25">
        <v>1</v>
      </c>
    </row>
    <row r="251" spans="1:13" x14ac:dyDescent="0.3">
      <c r="A251" s="35">
        <v>4235</v>
      </c>
      <c r="B251" s="17" t="s">
        <v>398</v>
      </c>
      <c r="C251" s="18" t="s">
        <v>0</v>
      </c>
      <c r="D251" s="45" t="s">
        <v>16</v>
      </c>
      <c r="E251" s="51" t="s">
        <v>17</v>
      </c>
      <c r="F251" s="21" t="s">
        <v>18</v>
      </c>
      <c r="G251" s="21" t="s">
        <v>19</v>
      </c>
      <c r="H251" s="58">
        <v>64</v>
      </c>
      <c r="I251" s="27"/>
      <c r="J251" s="22">
        <v>291</v>
      </c>
      <c r="K251" s="23">
        <f>J251*(1-$H$2)</f>
        <v>116.4</v>
      </c>
      <c r="L251" s="24">
        <f>K251*I251</f>
        <v>0</v>
      </c>
      <c r="M251" s="25">
        <v>1</v>
      </c>
    </row>
    <row r="252" spans="1:13" x14ac:dyDescent="0.3">
      <c r="A252" s="35">
        <v>4238</v>
      </c>
      <c r="B252" s="17" t="s">
        <v>398</v>
      </c>
      <c r="C252" s="18" t="s">
        <v>0</v>
      </c>
      <c r="D252" s="45" t="s">
        <v>22</v>
      </c>
      <c r="E252" s="51" t="s">
        <v>23</v>
      </c>
      <c r="F252" s="21" t="s">
        <v>24</v>
      </c>
      <c r="G252" s="21" t="s">
        <v>25</v>
      </c>
      <c r="H252" s="58">
        <v>370</v>
      </c>
      <c r="I252" s="27"/>
      <c r="J252" s="22">
        <v>343</v>
      </c>
      <c r="K252" s="23">
        <f>J252*(1-$H$2)</f>
        <v>137.20000000000002</v>
      </c>
      <c r="L252" s="24">
        <f>K252*I252</f>
        <v>0</v>
      </c>
      <c r="M252" s="25">
        <v>1</v>
      </c>
    </row>
    <row r="253" spans="1:13" x14ac:dyDescent="0.3">
      <c r="A253" s="35">
        <v>4239</v>
      </c>
      <c r="B253" s="17" t="s">
        <v>398</v>
      </c>
      <c r="C253" s="18" t="s">
        <v>0</v>
      </c>
      <c r="D253" s="45" t="s">
        <v>26</v>
      </c>
      <c r="E253" s="51" t="s">
        <v>27</v>
      </c>
      <c r="F253" s="21" t="s">
        <v>28</v>
      </c>
      <c r="G253" s="21" t="s">
        <v>21</v>
      </c>
      <c r="H253" s="58">
        <v>50</v>
      </c>
      <c r="I253" s="27"/>
      <c r="J253" s="22">
        <v>358</v>
      </c>
      <c r="K253" s="23">
        <f>J253*(1-$H$2)</f>
        <v>143.20000000000002</v>
      </c>
      <c r="L253" s="24">
        <f>K253*I253</f>
        <v>0</v>
      </c>
      <c r="M253" s="25">
        <v>1</v>
      </c>
    </row>
    <row r="254" spans="1:13" x14ac:dyDescent="0.3">
      <c r="A254" s="35">
        <v>4240</v>
      </c>
      <c r="B254" s="17" t="s">
        <v>398</v>
      </c>
      <c r="C254" s="18" t="s">
        <v>0</v>
      </c>
      <c r="D254" s="45" t="s">
        <v>29</v>
      </c>
      <c r="E254" s="51" t="s">
        <v>30</v>
      </c>
      <c r="F254" s="21" t="s">
        <v>31</v>
      </c>
      <c r="G254" s="21" t="s">
        <v>21</v>
      </c>
      <c r="H254" s="58">
        <v>52</v>
      </c>
      <c r="I254" s="27"/>
      <c r="J254" s="22">
        <v>448</v>
      </c>
      <c r="K254" s="23">
        <f>J254*(1-$H$2)</f>
        <v>179.20000000000002</v>
      </c>
      <c r="L254" s="24">
        <f>K254*I254</f>
        <v>0</v>
      </c>
      <c r="M254" s="25">
        <v>1</v>
      </c>
    </row>
    <row r="255" spans="1:13" x14ac:dyDescent="0.3">
      <c r="A255" s="35">
        <v>4241</v>
      </c>
      <c r="B255" s="39" t="s">
        <v>398</v>
      </c>
      <c r="C255" s="41" t="s">
        <v>0</v>
      </c>
      <c r="D255" s="43" t="s">
        <v>32</v>
      </c>
      <c r="E255" s="49" t="s">
        <v>33</v>
      </c>
      <c r="F255" s="55" t="s">
        <v>31</v>
      </c>
      <c r="G255" s="55" t="s">
        <v>21</v>
      </c>
      <c r="H255" s="57">
        <v>52</v>
      </c>
      <c r="I255" s="61"/>
      <c r="J255" s="63">
        <v>448</v>
      </c>
      <c r="K255" s="65">
        <f>J255*(1-$H$2)</f>
        <v>179.20000000000002</v>
      </c>
      <c r="L255" s="67">
        <f>K255*I255</f>
        <v>0</v>
      </c>
      <c r="M255" s="16">
        <v>1</v>
      </c>
    </row>
    <row r="256" spans="1:13" x14ac:dyDescent="0.3">
      <c r="A256" s="35">
        <v>4254</v>
      </c>
      <c r="B256" s="17" t="s">
        <v>399</v>
      </c>
      <c r="C256" s="18" t="s">
        <v>0</v>
      </c>
      <c r="D256" s="45" t="s">
        <v>78</v>
      </c>
      <c r="E256" s="51" t="s">
        <v>79</v>
      </c>
      <c r="F256" s="21" t="s">
        <v>18</v>
      </c>
      <c r="G256" s="21" t="s">
        <v>80</v>
      </c>
      <c r="H256" s="58">
        <v>60</v>
      </c>
      <c r="I256" s="27"/>
      <c r="J256" s="22">
        <v>372</v>
      </c>
      <c r="K256" s="23">
        <f>J256*(1-$H$2)</f>
        <v>148.80000000000001</v>
      </c>
      <c r="L256" s="24">
        <f>K256*I256</f>
        <v>0</v>
      </c>
      <c r="M256" s="25">
        <v>1</v>
      </c>
    </row>
    <row r="257" spans="1:13" x14ac:dyDescent="0.3">
      <c r="A257" s="35">
        <v>4349</v>
      </c>
      <c r="B257" s="17" t="s">
        <v>400</v>
      </c>
      <c r="C257" s="18" t="s">
        <v>0</v>
      </c>
      <c r="D257" s="45" t="s">
        <v>134</v>
      </c>
      <c r="E257" s="51" t="s">
        <v>135</v>
      </c>
      <c r="F257" s="21" t="s">
        <v>31</v>
      </c>
      <c r="G257" s="21" t="s">
        <v>136</v>
      </c>
      <c r="H257" s="58">
        <v>83</v>
      </c>
      <c r="I257" s="27"/>
      <c r="J257" s="22">
        <v>238</v>
      </c>
      <c r="K257" s="23">
        <f>J257*(1-$H$2)</f>
        <v>95.2</v>
      </c>
      <c r="L257" s="24">
        <f>K257*I257</f>
        <v>0</v>
      </c>
      <c r="M257" s="25">
        <v>1</v>
      </c>
    </row>
    <row r="258" spans="1:13" x14ac:dyDescent="0.3">
      <c r="A258" s="35">
        <v>4350</v>
      </c>
      <c r="B258" s="17" t="s">
        <v>400</v>
      </c>
      <c r="C258" s="18" t="s">
        <v>0</v>
      </c>
      <c r="D258" s="45" t="s">
        <v>137</v>
      </c>
      <c r="E258" s="51" t="s">
        <v>138</v>
      </c>
      <c r="F258" s="21" t="s">
        <v>31</v>
      </c>
      <c r="G258" s="21" t="s">
        <v>136</v>
      </c>
      <c r="H258" s="26">
        <v>83</v>
      </c>
      <c r="I258" s="27"/>
      <c r="J258" s="22">
        <v>238</v>
      </c>
      <c r="K258" s="23">
        <f>J258*(1-$H$2)</f>
        <v>95.2</v>
      </c>
      <c r="L258" s="24">
        <f>K258*I258</f>
        <v>0</v>
      </c>
      <c r="M258" s="25">
        <v>1</v>
      </c>
    </row>
    <row r="259" spans="1:13" x14ac:dyDescent="0.3">
      <c r="A259" s="35">
        <v>4356</v>
      </c>
      <c r="B259" s="17" t="s">
        <v>401</v>
      </c>
      <c r="C259" s="18" t="s">
        <v>0</v>
      </c>
      <c r="D259" s="45" t="s">
        <v>134</v>
      </c>
      <c r="E259" s="51" t="s">
        <v>135</v>
      </c>
      <c r="F259" s="21" t="s">
        <v>31</v>
      </c>
      <c r="G259" s="21" t="s">
        <v>136</v>
      </c>
      <c r="H259" s="26">
        <v>83</v>
      </c>
      <c r="I259" s="27"/>
      <c r="J259" s="22">
        <v>238</v>
      </c>
      <c r="K259" s="23">
        <f>J259*(1-$H$2)</f>
        <v>95.2</v>
      </c>
      <c r="L259" s="24">
        <f>K259*I259</f>
        <v>0</v>
      </c>
      <c r="M259" s="25">
        <v>1</v>
      </c>
    </row>
    <row r="260" spans="1:13" x14ac:dyDescent="0.3">
      <c r="A260" s="35">
        <v>4357</v>
      </c>
      <c r="B260" s="17" t="s">
        <v>401</v>
      </c>
      <c r="C260" s="18" t="s">
        <v>0</v>
      </c>
      <c r="D260" s="45" t="s">
        <v>137</v>
      </c>
      <c r="E260" s="51" t="s">
        <v>138</v>
      </c>
      <c r="F260" s="21" t="s">
        <v>31</v>
      </c>
      <c r="G260" s="21" t="s">
        <v>136</v>
      </c>
      <c r="H260" s="26">
        <v>83</v>
      </c>
      <c r="I260" s="27"/>
      <c r="J260" s="22">
        <v>238</v>
      </c>
      <c r="K260" s="23">
        <f>J260*(1-$H$2)</f>
        <v>95.2</v>
      </c>
      <c r="L260" s="24">
        <f>K260*I260</f>
        <v>0</v>
      </c>
      <c r="M260" s="25">
        <v>1</v>
      </c>
    </row>
    <row r="261" spans="1:13" x14ac:dyDescent="0.3">
      <c r="A261" s="35">
        <v>4360</v>
      </c>
      <c r="B261" s="17" t="s">
        <v>402</v>
      </c>
      <c r="C261" s="18" t="s">
        <v>0</v>
      </c>
      <c r="D261" s="45" t="s">
        <v>134</v>
      </c>
      <c r="E261" s="51" t="s">
        <v>135</v>
      </c>
      <c r="F261" s="21" t="s">
        <v>31</v>
      </c>
      <c r="G261" s="21" t="s">
        <v>136</v>
      </c>
      <c r="H261" s="26">
        <v>83</v>
      </c>
      <c r="I261" s="27"/>
      <c r="J261" s="22">
        <v>238</v>
      </c>
      <c r="K261" s="23">
        <f>J261*(1-$H$2)</f>
        <v>95.2</v>
      </c>
      <c r="L261" s="24">
        <f>K261*I261</f>
        <v>0</v>
      </c>
      <c r="M261" s="25">
        <v>1</v>
      </c>
    </row>
    <row r="262" spans="1:13" x14ac:dyDescent="0.3">
      <c r="A262" s="35">
        <v>4361</v>
      </c>
      <c r="B262" s="39" t="s">
        <v>402</v>
      </c>
      <c r="C262" s="41" t="s">
        <v>0</v>
      </c>
      <c r="D262" s="43" t="s">
        <v>137</v>
      </c>
      <c r="E262" s="49" t="s">
        <v>138</v>
      </c>
      <c r="F262" s="55" t="s">
        <v>31</v>
      </c>
      <c r="G262" s="55" t="s">
        <v>136</v>
      </c>
      <c r="H262" s="57">
        <v>83</v>
      </c>
      <c r="I262" s="61"/>
      <c r="J262" s="63">
        <v>238</v>
      </c>
      <c r="K262" s="65">
        <f>J262*(1-$H$2)</f>
        <v>95.2</v>
      </c>
      <c r="L262" s="67">
        <f>K262*I262</f>
        <v>0</v>
      </c>
      <c r="M262" s="16">
        <v>1</v>
      </c>
    </row>
    <row r="263" spans="1:13" x14ac:dyDescent="0.3">
      <c r="A263" s="35">
        <v>4373</v>
      </c>
      <c r="B263" s="17" t="s">
        <v>403</v>
      </c>
      <c r="C263" s="18" t="s">
        <v>0</v>
      </c>
      <c r="D263" s="45" t="s">
        <v>134</v>
      </c>
      <c r="E263" s="51" t="s">
        <v>135</v>
      </c>
      <c r="F263" s="21" t="s">
        <v>31</v>
      </c>
      <c r="G263" s="21" t="s">
        <v>136</v>
      </c>
      <c r="H263" s="26">
        <v>83</v>
      </c>
      <c r="I263" s="27"/>
      <c r="J263" s="22">
        <v>238</v>
      </c>
      <c r="K263" s="23">
        <f>J263*(1-$H$2)</f>
        <v>95.2</v>
      </c>
      <c r="L263" s="24">
        <f>K263*I263</f>
        <v>0</v>
      </c>
      <c r="M263" s="25">
        <v>1</v>
      </c>
    </row>
    <row r="264" spans="1:13" x14ac:dyDescent="0.3">
      <c r="A264" s="35">
        <v>4374</v>
      </c>
      <c r="B264" s="17" t="s">
        <v>403</v>
      </c>
      <c r="C264" s="18" t="s">
        <v>0</v>
      </c>
      <c r="D264" s="45" t="s">
        <v>137</v>
      </c>
      <c r="E264" s="51" t="s">
        <v>138</v>
      </c>
      <c r="F264" s="21" t="s">
        <v>31</v>
      </c>
      <c r="G264" s="21" t="s">
        <v>136</v>
      </c>
      <c r="H264" s="26">
        <v>83</v>
      </c>
      <c r="I264" s="27"/>
      <c r="J264" s="22">
        <v>238</v>
      </c>
      <c r="K264" s="23">
        <f>J264*(1-$H$2)</f>
        <v>95.2</v>
      </c>
      <c r="L264" s="24">
        <f>K264*I264</f>
        <v>0</v>
      </c>
      <c r="M264" s="25">
        <v>1</v>
      </c>
    </row>
    <row r="265" spans="1:13" x14ac:dyDescent="0.3">
      <c r="A265" s="35">
        <v>4412</v>
      </c>
      <c r="B265" s="17" t="s">
        <v>404</v>
      </c>
      <c r="C265" s="18" t="s">
        <v>0</v>
      </c>
      <c r="D265" s="45" t="s">
        <v>134</v>
      </c>
      <c r="E265" s="51" t="s">
        <v>135</v>
      </c>
      <c r="F265" s="21" t="s">
        <v>31</v>
      </c>
      <c r="G265" s="21" t="s">
        <v>136</v>
      </c>
      <c r="H265" s="26">
        <v>83</v>
      </c>
      <c r="I265" s="27"/>
      <c r="J265" s="22">
        <v>238</v>
      </c>
      <c r="K265" s="23">
        <f>J265*(1-$H$2)</f>
        <v>95.2</v>
      </c>
      <c r="L265" s="24">
        <f>K265*I265</f>
        <v>0</v>
      </c>
      <c r="M265" s="25">
        <v>1</v>
      </c>
    </row>
    <row r="266" spans="1:13" x14ac:dyDescent="0.3">
      <c r="A266" s="35">
        <v>4413</v>
      </c>
      <c r="B266" s="39" t="s">
        <v>404</v>
      </c>
      <c r="C266" s="41" t="s">
        <v>0</v>
      </c>
      <c r="D266" s="43" t="s">
        <v>137</v>
      </c>
      <c r="E266" s="49" t="s">
        <v>138</v>
      </c>
      <c r="F266" s="55" t="s">
        <v>31</v>
      </c>
      <c r="G266" s="55" t="s">
        <v>136</v>
      </c>
      <c r="H266" s="57">
        <v>83</v>
      </c>
      <c r="I266" s="61"/>
      <c r="J266" s="63">
        <v>238</v>
      </c>
      <c r="K266" s="65">
        <f>J266*(1-$H$2)</f>
        <v>95.2</v>
      </c>
      <c r="L266" s="67">
        <f>K266*I266</f>
        <v>0</v>
      </c>
      <c r="M266" s="16">
        <v>1</v>
      </c>
    </row>
    <row r="267" spans="1:13" x14ac:dyDescent="0.3">
      <c r="A267" s="35">
        <v>4440</v>
      </c>
      <c r="B267" s="17" t="s">
        <v>405</v>
      </c>
      <c r="C267" s="18" t="s">
        <v>0</v>
      </c>
      <c r="D267" s="45" t="s">
        <v>59</v>
      </c>
      <c r="E267" s="51" t="s">
        <v>60</v>
      </c>
      <c r="F267" s="21" t="s">
        <v>31</v>
      </c>
      <c r="G267" s="21" t="s">
        <v>61</v>
      </c>
      <c r="H267" s="58">
        <v>206</v>
      </c>
      <c r="I267" s="27"/>
      <c r="J267" s="22">
        <v>188</v>
      </c>
      <c r="K267" s="23">
        <f>J267*(1-$H$2)</f>
        <v>75.2</v>
      </c>
      <c r="L267" s="24">
        <f>K267*I267</f>
        <v>0</v>
      </c>
      <c r="M267" s="25">
        <v>1</v>
      </c>
    </row>
    <row r="268" spans="1:13" x14ac:dyDescent="0.3">
      <c r="A268" s="35">
        <v>4445</v>
      </c>
      <c r="B268" s="39" t="s">
        <v>406</v>
      </c>
      <c r="C268" s="41" t="s">
        <v>0</v>
      </c>
      <c r="D268" s="43" t="s">
        <v>134</v>
      </c>
      <c r="E268" s="49" t="s">
        <v>135</v>
      </c>
      <c r="F268" s="55" t="s">
        <v>31</v>
      </c>
      <c r="G268" s="55" t="s">
        <v>136</v>
      </c>
      <c r="H268" s="57">
        <v>83</v>
      </c>
      <c r="I268" s="61"/>
      <c r="J268" s="63">
        <v>238</v>
      </c>
      <c r="K268" s="65">
        <f>J268*(1-$H$2)</f>
        <v>95.2</v>
      </c>
      <c r="L268" s="67">
        <f>K268*I268</f>
        <v>0</v>
      </c>
      <c r="M268" s="16">
        <v>1</v>
      </c>
    </row>
    <row r="269" spans="1:13" x14ac:dyDescent="0.3">
      <c r="A269" s="35">
        <v>4446</v>
      </c>
      <c r="B269" s="39" t="s">
        <v>406</v>
      </c>
      <c r="C269" s="41" t="s">
        <v>0</v>
      </c>
      <c r="D269" s="43" t="s">
        <v>137</v>
      </c>
      <c r="E269" s="49" t="s">
        <v>138</v>
      </c>
      <c r="F269" s="55" t="s">
        <v>31</v>
      </c>
      <c r="G269" s="55" t="s">
        <v>136</v>
      </c>
      <c r="H269" s="57">
        <v>83</v>
      </c>
      <c r="I269" s="61"/>
      <c r="J269" s="63">
        <v>238</v>
      </c>
      <c r="K269" s="65">
        <f>J269*(1-$H$2)</f>
        <v>95.2</v>
      </c>
      <c r="L269" s="67">
        <f>K269*I269</f>
        <v>0</v>
      </c>
      <c r="M269" s="16">
        <v>1</v>
      </c>
    </row>
    <row r="270" spans="1:13" x14ac:dyDescent="0.3">
      <c r="A270" s="35">
        <v>4497</v>
      </c>
      <c r="B270" s="39" t="s">
        <v>407</v>
      </c>
      <c r="C270" s="41" t="s">
        <v>0</v>
      </c>
      <c r="D270" s="43" t="s">
        <v>88</v>
      </c>
      <c r="E270" s="49" t="s">
        <v>89</v>
      </c>
      <c r="F270" s="55" t="s">
        <v>24</v>
      </c>
      <c r="G270" s="55" t="s">
        <v>90</v>
      </c>
      <c r="H270" s="57">
        <v>188</v>
      </c>
      <c r="I270" s="61"/>
      <c r="J270" s="63">
        <v>315</v>
      </c>
      <c r="K270" s="65">
        <f>J270*(1-$H$2)</f>
        <v>126</v>
      </c>
      <c r="L270" s="67">
        <f>K270*I270</f>
        <v>0</v>
      </c>
      <c r="M270" s="16">
        <v>1</v>
      </c>
    </row>
    <row r="271" spans="1:13" x14ac:dyDescent="0.3">
      <c r="A271" s="35">
        <v>4512</v>
      </c>
      <c r="B271" s="17" t="s">
        <v>408</v>
      </c>
      <c r="C271" s="18" t="s">
        <v>0</v>
      </c>
      <c r="D271" s="19" t="s">
        <v>43</v>
      </c>
      <c r="E271" s="20" t="s">
        <v>44</v>
      </c>
      <c r="F271" s="21" t="s">
        <v>31</v>
      </c>
      <c r="G271" s="21" t="s">
        <v>45</v>
      </c>
      <c r="H271" s="26">
        <v>61</v>
      </c>
      <c r="I271" s="27"/>
      <c r="J271" s="22">
        <v>207</v>
      </c>
      <c r="K271" s="23">
        <f>J271*(1-$H$2)</f>
        <v>82.800000000000011</v>
      </c>
      <c r="L271" s="24">
        <f>K271*I271</f>
        <v>0</v>
      </c>
      <c r="M271" s="25">
        <v>0</v>
      </c>
    </row>
    <row r="272" spans="1:13" x14ac:dyDescent="0.3">
      <c r="A272" s="35">
        <v>4513</v>
      </c>
      <c r="B272" s="39" t="s">
        <v>408</v>
      </c>
      <c r="C272" s="41" t="s">
        <v>0</v>
      </c>
      <c r="D272" s="43" t="s">
        <v>46</v>
      </c>
      <c r="E272" s="49" t="s">
        <v>47</v>
      </c>
      <c r="F272" s="55" t="s">
        <v>31</v>
      </c>
      <c r="G272" s="55" t="s">
        <v>45</v>
      </c>
      <c r="H272" s="57">
        <v>62</v>
      </c>
      <c r="I272" s="61"/>
      <c r="J272" s="63">
        <v>207</v>
      </c>
      <c r="K272" s="65">
        <f>J272*(1-$H$2)</f>
        <v>82.800000000000011</v>
      </c>
      <c r="L272" s="67">
        <f>K272*I272</f>
        <v>0</v>
      </c>
      <c r="M272" s="16">
        <v>1</v>
      </c>
    </row>
    <row r="273" spans="1:13" x14ac:dyDescent="0.3">
      <c r="A273" s="35">
        <v>4522</v>
      </c>
      <c r="B273" s="39" t="s">
        <v>409</v>
      </c>
      <c r="C273" s="41" t="s">
        <v>0</v>
      </c>
      <c r="D273" s="43" t="s">
        <v>88</v>
      </c>
      <c r="E273" s="49" t="s">
        <v>89</v>
      </c>
      <c r="F273" s="55" t="s">
        <v>24</v>
      </c>
      <c r="G273" s="55" t="s">
        <v>90</v>
      </c>
      <c r="H273" s="57">
        <v>188</v>
      </c>
      <c r="I273" s="61"/>
      <c r="J273" s="63">
        <v>315</v>
      </c>
      <c r="K273" s="65">
        <f>J273*(1-$H$2)</f>
        <v>126</v>
      </c>
      <c r="L273" s="67">
        <f>K273*I273</f>
        <v>0</v>
      </c>
      <c r="M273" s="16">
        <v>1</v>
      </c>
    </row>
    <row r="274" spans="1:13" x14ac:dyDescent="0.3">
      <c r="A274" s="35">
        <v>4523</v>
      </c>
      <c r="B274" s="39" t="s">
        <v>409</v>
      </c>
      <c r="C274" s="41" t="s">
        <v>0</v>
      </c>
      <c r="D274" s="43" t="s">
        <v>53</v>
      </c>
      <c r="E274" s="49" t="s">
        <v>54</v>
      </c>
      <c r="F274" s="55" t="s">
        <v>31</v>
      </c>
      <c r="G274" s="55" t="s">
        <v>55</v>
      </c>
      <c r="H274" s="57">
        <v>53</v>
      </c>
      <c r="I274" s="61"/>
      <c r="J274" s="63">
        <v>281</v>
      </c>
      <c r="K274" s="65">
        <f>J274*(1-$H$2)</f>
        <v>112.4</v>
      </c>
      <c r="L274" s="67">
        <f>K274*I274</f>
        <v>0</v>
      </c>
      <c r="M274" s="16">
        <v>1</v>
      </c>
    </row>
    <row r="275" spans="1:13" x14ac:dyDescent="0.3">
      <c r="A275" s="35">
        <v>4524</v>
      </c>
      <c r="B275" s="39" t="s">
        <v>409</v>
      </c>
      <c r="C275" s="41" t="s">
        <v>0</v>
      </c>
      <c r="D275" s="43" t="s">
        <v>56</v>
      </c>
      <c r="E275" s="49" t="s">
        <v>57</v>
      </c>
      <c r="F275" s="55" t="s">
        <v>31</v>
      </c>
      <c r="G275" s="55" t="s">
        <v>55</v>
      </c>
      <c r="H275" s="57">
        <v>53</v>
      </c>
      <c r="I275" s="61"/>
      <c r="J275" s="63">
        <v>281</v>
      </c>
      <c r="K275" s="65">
        <f>J275*(1-$H$2)</f>
        <v>112.4</v>
      </c>
      <c r="L275" s="67">
        <f>K275*I275</f>
        <v>0</v>
      </c>
      <c r="M275" s="16">
        <v>1</v>
      </c>
    </row>
    <row r="276" spans="1:13" x14ac:dyDescent="0.3">
      <c r="A276" s="35">
        <v>4536</v>
      </c>
      <c r="B276" s="39" t="s">
        <v>410</v>
      </c>
      <c r="C276" s="41" t="s">
        <v>0</v>
      </c>
      <c r="D276" s="43" t="s">
        <v>43</v>
      </c>
      <c r="E276" s="49" t="s">
        <v>44</v>
      </c>
      <c r="F276" s="55" t="s">
        <v>31</v>
      </c>
      <c r="G276" s="55" t="s">
        <v>45</v>
      </c>
      <c r="H276" s="57">
        <v>61</v>
      </c>
      <c r="I276" s="61"/>
      <c r="J276" s="63">
        <v>207</v>
      </c>
      <c r="K276" s="65">
        <f>J276*(1-$H$2)</f>
        <v>82.800000000000011</v>
      </c>
      <c r="L276" s="67">
        <f>K276*I276</f>
        <v>0</v>
      </c>
      <c r="M276" s="16">
        <v>1</v>
      </c>
    </row>
    <row r="277" spans="1:13" x14ac:dyDescent="0.3">
      <c r="A277" s="35">
        <v>4537</v>
      </c>
      <c r="B277" s="39" t="s">
        <v>410</v>
      </c>
      <c r="C277" s="41" t="s">
        <v>0</v>
      </c>
      <c r="D277" s="43" t="s">
        <v>46</v>
      </c>
      <c r="E277" s="49" t="s">
        <v>47</v>
      </c>
      <c r="F277" s="55" t="s">
        <v>31</v>
      </c>
      <c r="G277" s="55" t="s">
        <v>45</v>
      </c>
      <c r="H277" s="57">
        <v>62</v>
      </c>
      <c r="I277" s="61"/>
      <c r="J277" s="63">
        <v>207</v>
      </c>
      <c r="K277" s="65">
        <f>J277*(1-$H$2)</f>
        <v>82.800000000000011</v>
      </c>
      <c r="L277" s="67">
        <f>K277*I277</f>
        <v>0</v>
      </c>
      <c r="M277" s="16">
        <v>1</v>
      </c>
    </row>
    <row r="278" spans="1:13" x14ac:dyDescent="0.3">
      <c r="A278" s="35">
        <v>4546</v>
      </c>
      <c r="B278" s="39" t="s">
        <v>411</v>
      </c>
      <c r="C278" s="41" t="s">
        <v>0</v>
      </c>
      <c r="D278" s="43" t="s">
        <v>53</v>
      </c>
      <c r="E278" s="49" t="s">
        <v>54</v>
      </c>
      <c r="F278" s="55" t="s">
        <v>31</v>
      </c>
      <c r="G278" s="55" t="s">
        <v>55</v>
      </c>
      <c r="H278" s="57">
        <v>53</v>
      </c>
      <c r="I278" s="61"/>
      <c r="J278" s="63">
        <v>281</v>
      </c>
      <c r="K278" s="65">
        <f>J278*(1-$H$2)</f>
        <v>112.4</v>
      </c>
      <c r="L278" s="67">
        <f>K278*I278</f>
        <v>0</v>
      </c>
      <c r="M278" s="16">
        <v>1</v>
      </c>
    </row>
    <row r="279" spans="1:13" x14ac:dyDescent="0.3">
      <c r="A279" s="35">
        <v>4547</v>
      </c>
      <c r="B279" s="39" t="s">
        <v>411</v>
      </c>
      <c r="C279" s="41" t="s">
        <v>0</v>
      </c>
      <c r="D279" s="43" t="s">
        <v>56</v>
      </c>
      <c r="E279" s="49" t="s">
        <v>57</v>
      </c>
      <c r="F279" s="55" t="s">
        <v>31</v>
      </c>
      <c r="G279" s="55" t="s">
        <v>55</v>
      </c>
      <c r="H279" s="57">
        <v>53</v>
      </c>
      <c r="I279" s="61"/>
      <c r="J279" s="63">
        <v>281</v>
      </c>
      <c r="K279" s="65">
        <f>J279*(1-$H$2)</f>
        <v>112.4</v>
      </c>
      <c r="L279" s="67">
        <f>K279*I279</f>
        <v>0</v>
      </c>
      <c r="M279" s="16">
        <v>1</v>
      </c>
    </row>
    <row r="280" spans="1:13" x14ac:dyDescent="0.3">
      <c r="A280" s="35">
        <v>4548</v>
      </c>
      <c r="B280" s="39" t="s">
        <v>412</v>
      </c>
      <c r="C280" s="41" t="s">
        <v>0</v>
      </c>
      <c r="D280" s="43" t="s">
        <v>88</v>
      </c>
      <c r="E280" s="49" t="s">
        <v>89</v>
      </c>
      <c r="F280" s="55" t="s">
        <v>24</v>
      </c>
      <c r="G280" s="55" t="s">
        <v>90</v>
      </c>
      <c r="H280" s="57">
        <v>188</v>
      </c>
      <c r="I280" s="61"/>
      <c r="J280" s="63">
        <v>315</v>
      </c>
      <c r="K280" s="65">
        <f>J280*(1-$H$2)</f>
        <v>126</v>
      </c>
      <c r="L280" s="67">
        <f>K280*I280</f>
        <v>0</v>
      </c>
      <c r="M280" s="16">
        <v>1</v>
      </c>
    </row>
    <row r="281" spans="1:13" x14ac:dyDescent="0.3">
      <c r="A281" s="35">
        <v>4549</v>
      </c>
      <c r="B281" s="39" t="s">
        <v>413</v>
      </c>
      <c r="C281" s="41" t="s">
        <v>0</v>
      </c>
      <c r="D281" s="43" t="s">
        <v>82</v>
      </c>
      <c r="E281" s="49" t="s">
        <v>83</v>
      </c>
      <c r="F281" s="55" t="s">
        <v>18</v>
      </c>
      <c r="G281" s="55" t="s">
        <v>84</v>
      </c>
      <c r="H281" s="57">
        <v>69</v>
      </c>
      <c r="I281" s="61"/>
      <c r="J281" s="63">
        <v>329</v>
      </c>
      <c r="K281" s="65">
        <f>J281*(1-$H$2)</f>
        <v>131.6</v>
      </c>
      <c r="L281" s="67">
        <f>K281*I281</f>
        <v>0</v>
      </c>
      <c r="M281" s="16">
        <v>1</v>
      </c>
    </row>
    <row r="282" spans="1:13" x14ac:dyDescent="0.3">
      <c r="A282" s="35">
        <v>4555</v>
      </c>
      <c r="B282" s="39" t="s">
        <v>414</v>
      </c>
      <c r="C282" s="41" t="s">
        <v>0</v>
      </c>
      <c r="D282" s="43" t="s">
        <v>85</v>
      </c>
      <c r="E282" s="49" t="s">
        <v>86</v>
      </c>
      <c r="F282" s="55" t="s">
        <v>18</v>
      </c>
      <c r="G282" s="55" t="s">
        <v>87</v>
      </c>
      <c r="H282" s="57">
        <v>69</v>
      </c>
      <c r="I282" s="61"/>
      <c r="J282" s="63">
        <v>329</v>
      </c>
      <c r="K282" s="65">
        <f>J282*(1-$H$2)</f>
        <v>131.6</v>
      </c>
      <c r="L282" s="67">
        <f>K282*I282</f>
        <v>0</v>
      </c>
      <c r="M282" s="16">
        <v>1</v>
      </c>
    </row>
    <row r="283" spans="1:13" x14ac:dyDescent="0.3">
      <c r="A283" s="35">
        <v>4565</v>
      </c>
      <c r="B283" s="39" t="s">
        <v>415</v>
      </c>
      <c r="C283" s="41" t="s">
        <v>0</v>
      </c>
      <c r="D283" s="43" t="s">
        <v>50</v>
      </c>
      <c r="E283" s="49" t="s">
        <v>51</v>
      </c>
      <c r="F283" s="55" t="s">
        <v>28</v>
      </c>
      <c r="G283" s="55" t="s">
        <v>52</v>
      </c>
      <c r="H283" s="57">
        <v>53</v>
      </c>
      <c r="I283" s="61"/>
      <c r="J283" s="63">
        <v>242</v>
      </c>
      <c r="K283" s="65">
        <f>J283*(1-$H$2)</f>
        <v>96.800000000000011</v>
      </c>
      <c r="L283" s="67">
        <f>K283*I283</f>
        <v>0</v>
      </c>
      <c r="M283" s="16">
        <v>1</v>
      </c>
    </row>
    <row r="284" spans="1:13" x14ac:dyDescent="0.3">
      <c r="A284" s="35">
        <v>4566</v>
      </c>
      <c r="B284" s="39" t="s">
        <v>415</v>
      </c>
      <c r="C284" s="41" t="s">
        <v>0</v>
      </c>
      <c r="D284" s="43" t="s">
        <v>53</v>
      </c>
      <c r="E284" s="49" t="s">
        <v>54</v>
      </c>
      <c r="F284" s="55" t="s">
        <v>31</v>
      </c>
      <c r="G284" s="55" t="s">
        <v>55</v>
      </c>
      <c r="H284" s="57">
        <v>53</v>
      </c>
      <c r="I284" s="61"/>
      <c r="J284" s="63">
        <v>281</v>
      </c>
      <c r="K284" s="65">
        <f>J284*(1-$H$2)</f>
        <v>112.4</v>
      </c>
      <c r="L284" s="67">
        <f>K284*I284</f>
        <v>0</v>
      </c>
      <c r="M284" s="16">
        <v>1</v>
      </c>
    </row>
    <row r="285" spans="1:13" x14ac:dyDescent="0.3">
      <c r="A285" s="35">
        <v>4567</v>
      </c>
      <c r="B285" s="39" t="s">
        <v>415</v>
      </c>
      <c r="C285" s="41" t="s">
        <v>0</v>
      </c>
      <c r="D285" s="43" t="s">
        <v>56</v>
      </c>
      <c r="E285" s="49" t="s">
        <v>57</v>
      </c>
      <c r="F285" s="55" t="s">
        <v>31</v>
      </c>
      <c r="G285" s="55" t="s">
        <v>55</v>
      </c>
      <c r="H285" s="57">
        <v>53</v>
      </c>
      <c r="I285" s="61"/>
      <c r="J285" s="63">
        <v>281</v>
      </c>
      <c r="K285" s="65">
        <f>J285*(1-$H$2)</f>
        <v>112.4</v>
      </c>
      <c r="L285" s="67">
        <f>K285*I285</f>
        <v>0</v>
      </c>
      <c r="M285" s="16">
        <v>1</v>
      </c>
    </row>
    <row r="286" spans="1:13" x14ac:dyDescent="0.3">
      <c r="A286" s="35">
        <v>4623</v>
      </c>
      <c r="B286" s="39" t="s">
        <v>416</v>
      </c>
      <c r="C286" s="41" t="s">
        <v>0</v>
      </c>
      <c r="D286" s="43" t="s">
        <v>50</v>
      </c>
      <c r="E286" s="49" t="s">
        <v>51</v>
      </c>
      <c r="F286" s="55" t="s">
        <v>28</v>
      </c>
      <c r="G286" s="55" t="s">
        <v>52</v>
      </c>
      <c r="H286" s="57">
        <v>53</v>
      </c>
      <c r="I286" s="61"/>
      <c r="J286" s="63">
        <v>242</v>
      </c>
      <c r="K286" s="65">
        <f>J286*(1-$H$2)</f>
        <v>96.800000000000011</v>
      </c>
      <c r="L286" s="67">
        <f>K286*I286</f>
        <v>0</v>
      </c>
      <c r="M286" s="16">
        <v>1</v>
      </c>
    </row>
    <row r="287" spans="1:13" x14ac:dyDescent="0.3">
      <c r="A287" s="35">
        <v>4624</v>
      </c>
      <c r="B287" s="39" t="s">
        <v>416</v>
      </c>
      <c r="C287" s="41" t="s">
        <v>0</v>
      </c>
      <c r="D287" s="43" t="s">
        <v>53</v>
      </c>
      <c r="E287" s="49" t="s">
        <v>54</v>
      </c>
      <c r="F287" s="55" t="s">
        <v>31</v>
      </c>
      <c r="G287" s="55" t="s">
        <v>55</v>
      </c>
      <c r="H287" s="57">
        <v>53</v>
      </c>
      <c r="I287" s="61"/>
      <c r="J287" s="63">
        <v>281</v>
      </c>
      <c r="K287" s="65">
        <f>J287*(1-$H$2)</f>
        <v>112.4</v>
      </c>
      <c r="L287" s="67">
        <f>K287*I287</f>
        <v>0</v>
      </c>
      <c r="M287" s="16">
        <v>1</v>
      </c>
    </row>
    <row r="288" spans="1:13" x14ac:dyDescent="0.3">
      <c r="A288" s="35">
        <v>4625</v>
      </c>
      <c r="B288" s="39" t="s">
        <v>416</v>
      </c>
      <c r="C288" s="41" t="s">
        <v>0</v>
      </c>
      <c r="D288" s="43" t="s">
        <v>56</v>
      </c>
      <c r="E288" s="49" t="s">
        <v>57</v>
      </c>
      <c r="F288" s="55" t="s">
        <v>31</v>
      </c>
      <c r="G288" s="55" t="s">
        <v>55</v>
      </c>
      <c r="H288" s="57">
        <v>53</v>
      </c>
      <c r="I288" s="61"/>
      <c r="J288" s="63">
        <v>281</v>
      </c>
      <c r="K288" s="65">
        <f>J288*(1-$H$2)</f>
        <v>112.4</v>
      </c>
      <c r="L288" s="67">
        <f>K288*I288</f>
        <v>0</v>
      </c>
      <c r="M288" s="16">
        <v>1</v>
      </c>
    </row>
    <row r="289" spans="1:13" x14ac:dyDescent="0.3">
      <c r="A289" s="35">
        <v>4649</v>
      </c>
      <c r="B289" s="39" t="s">
        <v>417</v>
      </c>
      <c r="C289" s="41" t="s">
        <v>0</v>
      </c>
      <c r="D289" s="43" t="s">
        <v>82</v>
      </c>
      <c r="E289" s="49" t="s">
        <v>83</v>
      </c>
      <c r="F289" s="55" t="s">
        <v>18</v>
      </c>
      <c r="G289" s="55" t="s">
        <v>84</v>
      </c>
      <c r="H289" s="57">
        <v>69</v>
      </c>
      <c r="I289" s="61"/>
      <c r="J289" s="63">
        <v>329</v>
      </c>
      <c r="K289" s="65">
        <f>J289*(1-$H$2)</f>
        <v>131.6</v>
      </c>
      <c r="L289" s="67">
        <f>K289*I289</f>
        <v>0</v>
      </c>
      <c r="M289" s="16">
        <v>1</v>
      </c>
    </row>
    <row r="290" spans="1:13" x14ac:dyDescent="0.3">
      <c r="A290" s="35">
        <v>4650</v>
      </c>
      <c r="B290" s="39" t="s">
        <v>417</v>
      </c>
      <c r="C290" s="41" t="s">
        <v>0</v>
      </c>
      <c r="D290" s="43" t="s">
        <v>85</v>
      </c>
      <c r="E290" s="49" t="s">
        <v>86</v>
      </c>
      <c r="F290" s="55" t="s">
        <v>18</v>
      </c>
      <c r="G290" s="55" t="s">
        <v>87</v>
      </c>
      <c r="H290" s="57">
        <v>69</v>
      </c>
      <c r="I290" s="61"/>
      <c r="J290" s="63">
        <v>329</v>
      </c>
      <c r="K290" s="65">
        <f>J290*(1-$H$2)</f>
        <v>131.6</v>
      </c>
      <c r="L290" s="67">
        <f>K290*I290</f>
        <v>0</v>
      </c>
      <c r="M290" s="16">
        <v>1</v>
      </c>
    </row>
    <row r="291" spans="1:13" x14ac:dyDescent="0.3">
      <c r="A291" s="35">
        <v>4653</v>
      </c>
      <c r="B291" s="39" t="s">
        <v>417</v>
      </c>
      <c r="C291" s="41" t="s">
        <v>0</v>
      </c>
      <c r="D291" s="43" t="s">
        <v>88</v>
      </c>
      <c r="E291" s="49" t="s">
        <v>89</v>
      </c>
      <c r="F291" s="55" t="s">
        <v>24</v>
      </c>
      <c r="G291" s="55" t="s">
        <v>90</v>
      </c>
      <c r="H291" s="57">
        <v>188</v>
      </c>
      <c r="I291" s="61"/>
      <c r="J291" s="63">
        <v>315</v>
      </c>
      <c r="K291" s="65">
        <f>J291*(1-$H$2)</f>
        <v>126</v>
      </c>
      <c r="L291" s="67">
        <f>K291*I291</f>
        <v>0</v>
      </c>
      <c r="M291" s="16">
        <v>1</v>
      </c>
    </row>
    <row r="292" spans="1:13" x14ac:dyDescent="0.3">
      <c r="A292" s="35">
        <v>4675</v>
      </c>
      <c r="B292" s="39" t="s">
        <v>418</v>
      </c>
      <c r="C292" s="41" t="s">
        <v>0</v>
      </c>
      <c r="D292" s="43" t="s">
        <v>155</v>
      </c>
      <c r="E292" s="49" t="s">
        <v>156</v>
      </c>
      <c r="F292" s="55" t="s">
        <v>18</v>
      </c>
      <c r="G292" s="55" t="s">
        <v>157</v>
      </c>
      <c r="H292" s="57">
        <v>186</v>
      </c>
      <c r="I292" s="61"/>
      <c r="J292" s="63">
        <v>528</v>
      </c>
      <c r="K292" s="65">
        <f>J292*(1-$H$2)</f>
        <v>211.20000000000002</v>
      </c>
      <c r="L292" s="67">
        <f>K292*I292</f>
        <v>0</v>
      </c>
      <c r="M292" s="16">
        <v>1</v>
      </c>
    </row>
    <row r="293" spans="1:13" x14ac:dyDescent="0.3">
      <c r="A293" s="35">
        <v>4681</v>
      </c>
      <c r="B293" s="39" t="s">
        <v>419</v>
      </c>
      <c r="C293" s="41" t="s">
        <v>0</v>
      </c>
      <c r="D293" s="43" t="s">
        <v>155</v>
      </c>
      <c r="E293" s="49" t="s">
        <v>156</v>
      </c>
      <c r="F293" s="55" t="s">
        <v>18</v>
      </c>
      <c r="G293" s="55" t="s">
        <v>157</v>
      </c>
      <c r="H293" s="57">
        <v>186</v>
      </c>
      <c r="I293" s="61"/>
      <c r="J293" s="63">
        <v>528</v>
      </c>
      <c r="K293" s="65">
        <f>J293*(1-$H$2)</f>
        <v>211.20000000000002</v>
      </c>
      <c r="L293" s="67">
        <f>K293*I293</f>
        <v>0</v>
      </c>
      <c r="M293" s="16">
        <v>1</v>
      </c>
    </row>
    <row r="294" spans="1:13" x14ac:dyDescent="0.3">
      <c r="A294" s="35">
        <v>4774</v>
      </c>
      <c r="B294" s="6" t="s">
        <v>420</v>
      </c>
      <c r="C294" s="7" t="s">
        <v>0</v>
      </c>
      <c r="D294" s="8" t="s">
        <v>284</v>
      </c>
      <c r="E294" s="9" t="s">
        <v>285</v>
      </c>
      <c r="F294" s="10" t="s">
        <v>18</v>
      </c>
      <c r="G294" s="10" t="s">
        <v>286</v>
      </c>
      <c r="H294" s="11">
        <v>106</v>
      </c>
      <c r="I294" s="12"/>
      <c r="J294" s="13">
        <v>500</v>
      </c>
      <c r="K294" s="14">
        <f>J294*(1-$H$2)</f>
        <v>200</v>
      </c>
      <c r="L294" s="15">
        <f>K294*I294</f>
        <v>0</v>
      </c>
      <c r="M294" s="16">
        <v>1</v>
      </c>
    </row>
    <row r="295" spans="1:13" x14ac:dyDescent="0.3">
      <c r="A295" s="35">
        <v>4776</v>
      </c>
      <c r="B295" s="6" t="s">
        <v>421</v>
      </c>
      <c r="C295" s="7" t="s">
        <v>0</v>
      </c>
      <c r="D295" s="8" t="s">
        <v>280</v>
      </c>
      <c r="E295" s="9" t="s">
        <v>281</v>
      </c>
      <c r="F295" s="10" t="s">
        <v>28</v>
      </c>
      <c r="G295" s="10" t="s">
        <v>282</v>
      </c>
      <c r="H295" s="11">
        <v>55</v>
      </c>
      <c r="I295" s="12"/>
      <c r="J295" s="13">
        <v>267</v>
      </c>
      <c r="K295" s="14">
        <f>J295*(1-$H$2)</f>
        <v>106.80000000000001</v>
      </c>
      <c r="L295" s="15">
        <f>K295*I295</f>
        <v>0</v>
      </c>
      <c r="M295" s="16">
        <v>1</v>
      </c>
    </row>
    <row r="296" spans="1:13" x14ac:dyDescent="0.3">
      <c r="A296" s="35">
        <v>4818</v>
      </c>
      <c r="B296" s="39" t="s">
        <v>422</v>
      </c>
      <c r="C296" s="41" t="s">
        <v>0</v>
      </c>
      <c r="D296" s="47" t="s">
        <v>424</v>
      </c>
      <c r="E296" s="53" t="s">
        <v>425</v>
      </c>
      <c r="F296" s="55" t="s">
        <v>39</v>
      </c>
      <c r="G296" s="55" t="s">
        <v>423</v>
      </c>
      <c r="H296" s="57">
        <v>54</v>
      </c>
      <c r="I296" s="61"/>
      <c r="J296" s="63">
        <v>580</v>
      </c>
      <c r="K296" s="65">
        <f>J296*(1-$H$2)</f>
        <v>232</v>
      </c>
      <c r="L296" s="67">
        <f>K296*I296</f>
        <v>0</v>
      </c>
      <c r="M296" s="16">
        <v>1</v>
      </c>
    </row>
    <row r="297" spans="1:13" x14ac:dyDescent="0.3">
      <c r="A297" s="35">
        <v>4941</v>
      </c>
      <c r="B297" s="17" t="s">
        <v>426</v>
      </c>
      <c r="C297" s="18" t="s">
        <v>0</v>
      </c>
      <c r="D297" s="19" t="s">
        <v>427</v>
      </c>
      <c r="E297" s="20" t="s">
        <v>428</v>
      </c>
      <c r="F297" s="21" t="s">
        <v>31</v>
      </c>
      <c r="G297" s="21" t="s">
        <v>429</v>
      </c>
      <c r="H297" s="26">
        <v>60</v>
      </c>
      <c r="I297" s="27"/>
      <c r="J297" s="22">
        <v>256</v>
      </c>
      <c r="K297" s="23">
        <f>J297*(1-$H$2)</f>
        <v>102.4</v>
      </c>
      <c r="L297" s="24">
        <f>K297*I297</f>
        <v>0</v>
      </c>
      <c r="M297" s="25">
        <v>0</v>
      </c>
    </row>
    <row r="298" spans="1:13" x14ac:dyDescent="0.3">
      <c r="A298" s="35">
        <v>4993</v>
      </c>
      <c r="B298" s="40" t="s">
        <v>430</v>
      </c>
      <c r="C298" s="42" t="s">
        <v>0</v>
      </c>
      <c r="D298" s="46" t="s">
        <v>427</v>
      </c>
      <c r="E298" s="52" t="s">
        <v>428</v>
      </c>
      <c r="F298" s="56" t="s">
        <v>31</v>
      </c>
      <c r="G298" s="56" t="s">
        <v>429</v>
      </c>
      <c r="H298" s="59">
        <v>60</v>
      </c>
      <c r="I298" s="62"/>
      <c r="J298" s="64">
        <v>256</v>
      </c>
      <c r="K298" s="66">
        <f>J298*(1-$H$2)</f>
        <v>102.4</v>
      </c>
      <c r="L298" s="68">
        <f>K298*I298</f>
        <v>0</v>
      </c>
      <c r="M298" s="25">
        <v>0</v>
      </c>
    </row>
    <row r="299" spans="1:13" x14ac:dyDescent="0.3">
      <c r="A299" s="35">
        <v>5009</v>
      </c>
      <c r="B299" s="39" t="s">
        <v>431</v>
      </c>
      <c r="C299" s="41" t="s">
        <v>0</v>
      </c>
      <c r="D299" s="47" t="s">
        <v>432</v>
      </c>
      <c r="E299" s="53" t="s">
        <v>433</v>
      </c>
      <c r="F299" s="55" t="s">
        <v>18</v>
      </c>
      <c r="G299" s="55" t="s">
        <v>434</v>
      </c>
      <c r="H299" s="57">
        <v>62</v>
      </c>
      <c r="I299" s="61"/>
      <c r="J299" s="63">
        <v>440</v>
      </c>
      <c r="K299" s="65">
        <f>J299*(1-$H$2)</f>
        <v>176</v>
      </c>
      <c r="L299" s="67">
        <f>K299*I299</f>
        <v>0</v>
      </c>
      <c r="M299" s="16">
        <v>1</v>
      </c>
    </row>
    <row r="300" spans="1:13" x14ac:dyDescent="0.3">
      <c r="A300" s="35">
        <v>5010</v>
      </c>
      <c r="B300" s="39" t="s">
        <v>431</v>
      </c>
      <c r="C300" s="41" t="s">
        <v>0</v>
      </c>
      <c r="D300" s="47" t="s">
        <v>435</v>
      </c>
      <c r="E300" s="53" t="s">
        <v>436</v>
      </c>
      <c r="F300" s="55" t="s">
        <v>18</v>
      </c>
      <c r="G300" s="55" t="s">
        <v>434</v>
      </c>
      <c r="H300" s="57">
        <v>62</v>
      </c>
      <c r="I300" s="61"/>
      <c r="J300" s="63">
        <v>377</v>
      </c>
      <c r="K300" s="65">
        <f>J300*(1-$H$2)</f>
        <v>150.80000000000001</v>
      </c>
      <c r="L300" s="67">
        <f>K300*I300</f>
        <v>0</v>
      </c>
      <c r="M300" s="16">
        <v>1</v>
      </c>
    </row>
    <row r="301" spans="1:13" x14ac:dyDescent="0.3">
      <c r="A301" s="35">
        <v>5023</v>
      </c>
      <c r="B301" s="39" t="s">
        <v>437</v>
      </c>
      <c r="C301" s="41" t="s">
        <v>0</v>
      </c>
      <c r="D301" s="43" t="s">
        <v>50</v>
      </c>
      <c r="E301" s="49" t="s">
        <v>51</v>
      </c>
      <c r="F301" s="55" t="s">
        <v>28</v>
      </c>
      <c r="G301" s="55" t="s">
        <v>52</v>
      </c>
      <c r="H301" s="57">
        <v>53</v>
      </c>
      <c r="I301" s="61"/>
      <c r="J301" s="63">
        <v>242</v>
      </c>
      <c r="K301" s="65">
        <f>J301*(1-$H$2)</f>
        <v>96.800000000000011</v>
      </c>
      <c r="L301" s="67">
        <f>K301*I301</f>
        <v>0</v>
      </c>
      <c r="M301" s="16">
        <v>1</v>
      </c>
    </row>
    <row r="302" spans="1:13" x14ac:dyDescent="0.3">
      <c r="A302" s="35">
        <v>5024</v>
      </c>
      <c r="B302" s="39" t="s">
        <v>437</v>
      </c>
      <c r="C302" s="41" t="s">
        <v>0</v>
      </c>
      <c r="D302" s="43" t="s">
        <v>53</v>
      </c>
      <c r="E302" s="49" t="s">
        <v>54</v>
      </c>
      <c r="F302" s="55" t="s">
        <v>31</v>
      </c>
      <c r="G302" s="55" t="s">
        <v>55</v>
      </c>
      <c r="H302" s="57">
        <v>53</v>
      </c>
      <c r="I302" s="61"/>
      <c r="J302" s="63">
        <v>281</v>
      </c>
      <c r="K302" s="65">
        <f>J302*(1-$H$2)</f>
        <v>112.4</v>
      </c>
      <c r="L302" s="67">
        <f>K302*I302</f>
        <v>0</v>
      </c>
      <c r="M302" s="16">
        <v>1</v>
      </c>
    </row>
    <row r="303" spans="1:13" x14ac:dyDescent="0.3">
      <c r="A303" s="35">
        <v>5025</v>
      </c>
      <c r="B303" s="39" t="s">
        <v>437</v>
      </c>
      <c r="C303" s="41" t="s">
        <v>0</v>
      </c>
      <c r="D303" s="43" t="s">
        <v>56</v>
      </c>
      <c r="E303" s="49" t="s">
        <v>57</v>
      </c>
      <c r="F303" s="55" t="s">
        <v>31</v>
      </c>
      <c r="G303" s="55" t="s">
        <v>55</v>
      </c>
      <c r="H303" s="57">
        <v>53</v>
      </c>
      <c r="I303" s="61"/>
      <c r="J303" s="63">
        <v>281</v>
      </c>
      <c r="K303" s="65">
        <f>J303*(1-$H$2)</f>
        <v>112.4</v>
      </c>
      <c r="L303" s="67">
        <f>K303*I303</f>
        <v>0</v>
      </c>
      <c r="M303" s="16">
        <v>1</v>
      </c>
    </row>
    <row r="304" spans="1:13" x14ac:dyDescent="0.3">
      <c r="A304" s="35">
        <v>5072</v>
      </c>
      <c r="B304" s="39" t="s">
        <v>438</v>
      </c>
      <c r="C304" s="41" t="s">
        <v>0</v>
      </c>
      <c r="D304" s="43" t="s">
        <v>88</v>
      </c>
      <c r="E304" s="49" t="s">
        <v>89</v>
      </c>
      <c r="F304" s="55" t="s">
        <v>24</v>
      </c>
      <c r="G304" s="55" t="s">
        <v>90</v>
      </c>
      <c r="H304" s="57">
        <v>188</v>
      </c>
      <c r="I304" s="61"/>
      <c r="J304" s="63">
        <v>315</v>
      </c>
      <c r="K304" s="65">
        <f>J304*(1-$H$2)</f>
        <v>126</v>
      </c>
      <c r="L304" s="67">
        <f>K304*I304</f>
        <v>0</v>
      </c>
      <c r="M304" s="16">
        <v>1</v>
      </c>
    </row>
    <row r="305" spans="1:13" x14ac:dyDescent="0.3">
      <c r="A305" s="35">
        <v>5073</v>
      </c>
      <c r="B305" s="39" t="s">
        <v>438</v>
      </c>
      <c r="C305" s="41" t="s">
        <v>0</v>
      </c>
      <c r="D305" s="43" t="s">
        <v>53</v>
      </c>
      <c r="E305" s="49" t="s">
        <v>54</v>
      </c>
      <c r="F305" s="55" t="s">
        <v>31</v>
      </c>
      <c r="G305" s="55" t="s">
        <v>55</v>
      </c>
      <c r="H305" s="57">
        <v>53</v>
      </c>
      <c r="I305" s="61"/>
      <c r="J305" s="63">
        <v>281</v>
      </c>
      <c r="K305" s="65">
        <f>J305*(1-$H$2)</f>
        <v>112.4</v>
      </c>
      <c r="L305" s="67">
        <f>K305*I305</f>
        <v>0</v>
      </c>
      <c r="M305" s="16">
        <v>1</v>
      </c>
    </row>
    <row r="306" spans="1:13" x14ac:dyDescent="0.3">
      <c r="A306" s="35">
        <v>5074</v>
      </c>
      <c r="B306" s="17" t="s">
        <v>438</v>
      </c>
      <c r="C306" s="18" t="s">
        <v>0</v>
      </c>
      <c r="D306" s="19" t="s">
        <v>56</v>
      </c>
      <c r="E306" s="20" t="s">
        <v>57</v>
      </c>
      <c r="F306" s="21" t="s">
        <v>31</v>
      </c>
      <c r="G306" s="21" t="s">
        <v>55</v>
      </c>
      <c r="H306" s="26">
        <v>53</v>
      </c>
      <c r="I306" s="27"/>
      <c r="J306" s="22">
        <v>281</v>
      </c>
      <c r="K306" s="23">
        <f>J306*(1-$H$2)</f>
        <v>112.4</v>
      </c>
      <c r="L306" s="24">
        <f>K306*I306</f>
        <v>0</v>
      </c>
      <c r="M306" s="25">
        <v>0</v>
      </c>
    </row>
    <row r="307" spans="1:13" x14ac:dyDescent="0.3">
      <c r="A307" s="35">
        <v>5076</v>
      </c>
      <c r="B307" s="39" t="s">
        <v>439</v>
      </c>
      <c r="C307" s="41" t="s">
        <v>0</v>
      </c>
      <c r="D307" s="43" t="s">
        <v>43</v>
      </c>
      <c r="E307" s="49" t="s">
        <v>44</v>
      </c>
      <c r="F307" s="55" t="s">
        <v>31</v>
      </c>
      <c r="G307" s="55" t="s">
        <v>45</v>
      </c>
      <c r="H307" s="57">
        <v>61</v>
      </c>
      <c r="I307" s="61"/>
      <c r="J307" s="63">
        <v>207</v>
      </c>
      <c r="K307" s="65">
        <f>J307*(1-$H$2)</f>
        <v>82.800000000000011</v>
      </c>
      <c r="L307" s="67">
        <f>K307*I307</f>
        <v>0</v>
      </c>
      <c r="M307" s="16">
        <v>1</v>
      </c>
    </row>
    <row r="308" spans="1:13" x14ac:dyDescent="0.3">
      <c r="A308" s="35">
        <v>5077</v>
      </c>
      <c r="B308" s="39" t="s">
        <v>439</v>
      </c>
      <c r="C308" s="41" t="s">
        <v>0</v>
      </c>
      <c r="D308" s="43" t="s">
        <v>46</v>
      </c>
      <c r="E308" s="49" t="s">
        <v>47</v>
      </c>
      <c r="F308" s="55" t="s">
        <v>31</v>
      </c>
      <c r="G308" s="55" t="s">
        <v>45</v>
      </c>
      <c r="H308" s="57">
        <v>62</v>
      </c>
      <c r="I308" s="61"/>
      <c r="J308" s="63">
        <v>207</v>
      </c>
      <c r="K308" s="65">
        <f>J308*(1-$H$2)</f>
        <v>82.800000000000011</v>
      </c>
      <c r="L308" s="67">
        <f>K308*I308</f>
        <v>0</v>
      </c>
      <c r="M308" s="16">
        <v>1</v>
      </c>
    </row>
    <row r="309" spans="1:13" x14ac:dyDescent="0.3">
      <c r="A309" s="35">
        <v>5102</v>
      </c>
      <c r="B309" s="39" t="s">
        <v>440</v>
      </c>
      <c r="C309" s="41" t="s">
        <v>0</v>
      </c>
      <c r="D309" s="43" t="s">
        <v>43</v>
      </c>
      <c r="E309" s="49" t="s">
        <v>44</v>
      </c>
      <c r="F309" s="55" t="s">
        <v>31</v>
      </c>
      <c r="G309" s="55" t="s">
        <v>45</v>
      </c>
      <c r="H309" s="57">
        <v>61</v>
      </c>
      <c r="I309" s="61"/>
      <c r="J309" s="63">
        <v>207</v>
      </c>
      <c r="K309" s="65">
        <f>J309*(1-$H$2)</f>
        <v>82.800000000000011</v>
      </c>
      <c r="L309" s="67">
        <f>K309*I309</f>
        <v>0</v>
      </c>
      <c r="M309" s="16">
        <v>1</v>
      </c>
    </row>
    <row r="310" spans="1:13" x14ac:dyDescent="0.3">
      <c r="A310" s="35">
        <v>5103</v>
      </c>
      <c r="B310" s="39" t="s">
        <v>440</v>
      </c>
      <c r="C310" s="41" t="s">
        <v>0</v>
      </c>
      <c r="D310" s="43" t="s">
        <v>46</v>
      </c>
      <c r="E310" s="49" t="s">
        <v>47</v>
      </c>
      <c r="F310" s="55" t="s">
        <v>31</v>
      </c>
      <c r="G310" s="55" t="s">
        <v>45</v>
      </c>
      <c r="H310" s="57">
        <v>62</v>
      </c>
      <c r="I310" s="61"/>
      <c r="J310" s="63">
        <v>207</v>
      </c>
      <c r="K310" s="65">
        <f>J310*(1-$H$2)</f>
        <v>82.800000000000011</v>
      </c>
      <c r="L310" s="67">
        <f>K310*I310</f>
        <v>0</v>
      </c>
      <c r="M310" s="16">
        <v>1</v>
      </c>
    </row>
    <row r="311" spans="1:13" x14ac:dyDescent="0.3">
      <c r="A311" s="35">
        <v>5109</v>
      </c>
      <c r="B311" s="17" t="s">
        <v>441</v>
      </c>
      <c r="C311" s="18" t="s">
        <v>0</v>
      </c>
      <c r="D311" s="45" t="s">
        <v>43</v>
      </c>
      <c r="E311" s="51" t="s">
        <v>44</v>
      </c>
      <c r="F311" s="21" t="s">
        <v>31</v>
      </c>
      <c r="G311" s="21" t="s">
        <v>45</v>
      </c>
      <c r="H311" s="26">
        <v>61</v>
      </c>
      <c r="I311" s="27"/>
      <c r="J311" s="22">
        <v>207</v>
      </c>
      <c r="K311" s="23">
        <f>J311*(1-$H$2)</f>
        <v>82.800000000000011</v>
      </c>
      <c r="L311" s="24">
        <f>K311*I311</f>
        <v>0</v>
      </c>
      <c r="M311" s="25">
        <v>1</v>
      </c>
    </row>
    <row r="312" spans="1:13" x14ac:dyDescent="0.3">
      <c r="A312" s="35">
        <v>5110</v>
      </c>
      <c r="B312" s="17" t="s">
        <v>441</v>
      </c>
      <c r="C312" s="18" t="s">
        <v>0</v>
      </c>
      <c r="D312" s="45" t="s">
        <v>46</v>
      </c>
      <c r="E312" s="51" t="s">
        <v>47</v>
      </c>
      <c r="F312" s="21" t="s">
        <v>31</v>
      </c>
      <c r="G312" s="21" t="s">
        <v>45</v>
      </c>
      <c r="H312" s="26">
        <v>62</v>
      </c>
      <c r="I312" s="27"/>
      <c r="J312" s="22">
        <v>207</v>
      </c>
      <c r="K312" s="23">
        <f>J312*(1-$H$2)</f>
        <v>82.800000000000011</v>
      </c>
      <c r="L312" s="24">
        <f>K312*I312</f>
        <v>0</v>
      </c>
      <c r="M312" s="25">
        <v>1</v>
      </c>
    </row>
    <row r="313" spans="1:13" x14ac:dyDescent="0.3">
      <c r="A313" s="35">
        <v>5121</v>
      </c>
      <c r="B313" s="17" t="s">
        <v>442</v>
      </c>
      <c r="C313" s="18" t="s">
        <v>0</v>
      </c>
      <c r="D313" s="45" t="s">
        <v>50</v>
      </c>
      <c r="E313" s="51" t="s">
        <v>51</v>
      </c>
      <c r="F313" s="21" t="s">
        <v>28</v>
      </c>
      <c r="G313" s="21" t="s">
        <v>52</v>
      </c>
      <c r="H313" s="26">
        <v>53</v>
      </c>
      <c r="I313" s="27"/>
      <c r="J313" s="22">
        <v>242</v>
      </c>
      <c r="K313" s="23">
        <f>J313*(1-$H$2)</f>
        <v>96.800000000000011</v>
      </c>
      <c r="L313" s="24">
        <f>K313*I313</f>
        <v>0</v>
      </c>
      <c r="M313" s="25">
        <v>1</v>
      </c>
    </row>
    <row r="314" spans="1:13" x14ac:dyDescent="0.3">
      <c r="A314" s="35">
        <v>5122</v>
      </c>
      <c r="B314" s="17" t="s">
        <v>442</v>
      </c>
      <c r="C314" s="18" t="s">
        <v>0</v>
      </c>
      <c r="D314" s="45" t="s">
        <v>53</v>
      </c>
      <c r="E314" s="51" t="s">
        <v>54</v>
      </c>
      <c r="F314" s="21" t="s">
        <v>31</v>
      </c>
      <c r="G314" s="21" t="s">
        <v>55</v>
      </c>
      <c r="H314" s="26">
        <v>53</v>
      </c>
      <c r="I314" s="27"/>
      <c r="J314" s="22">
        <v>281</v>
      </c>
      <c r="K314" s="23">
        <f>J314*(1-$H$2)</f>
        <v>112.4</v>
      </c>
      <c r="L314" s="24">
        <f>K314*I314</f>
        <v>0</v>
      </c>
      <c r="M314" s="25">
        <v>1</v>
      </c>
    </row>
    <row r="315" spans="1:13" x14ac:dyDescent="0.3">
      <c r="A315" s="35">
        <v>5123</v>
      </c>
      <c r="B315" s="39" t="s">
        <v>442</v>
      </c>
      <c r="C315" s="41" t="s">
        <v>0</v>
      </c>
      <c r="D315" s="43" t="s">
        <v>56</v>
      </c>
      <c r="E315" s="49" t="s">
        <v>57</v>
      </c>
      <c r="F315" s="55" t="s">
        <v>31</v>
      </c>
      <c r="G315" s="55" t="s">
        <v>55</v>
      </c>
      <c r="H315" s="57">
        <v>53</v>
      </c>
      <c r="I315" s="61"/>
      <c r="J315" s="63">
        <v>281</v>
      </c>
      <c r="K315" s="65">
        <f>J315*(1-$H$2)</f>
        <v>112.4</v>
      </c>
      <c r="L315" s="67">
        <f>K315*I315</f>
        <v>0</v>
      </c>
      <c r="M315" s="16">
        <v>1</v>
      </c>
    </row>
    <row r="316" spans="1:13" x14ac:dyDescent="0.3">
      <c r="A316" s="35">
        <v>5225</v>
      </c>
      <c r="B316" s="39" t="s">
        <v>443</v>
      </c>
      <c r="C316" s="41" t="s">
        <v>0</v>
      </c>
      <c r="D316" s="43" t="s">
        <v>88</v>
      </c>
      <c r="E316" s="49" t="s">
        <v>89</v>
      </c>
      <c r="F316" s="55" t="s">
        <v>24</v>
      </c>
      <c r="G316" s="55" t="s">
        <v>90</v>
      </c>
      <c r="H316" s="57">
        <v>188</v>
      </c>
      <c r="I316" s="61"/>
      <c r="J316" s="63">
        <v>315</v>
      </c>
      <c r="K316" s="65">
        <f>J316*(1-$H$2)</f>
        <v>126</v>
      </c>
      <c r="L316" s="67">
        <f>K316*I316</f>
        <v>0</v>
      </c>
      <c r="M316" s="16">
        <v>1</v>
      </c>
    </row>
    <row r="317" spans="1:13" x14ac:dyDescent="0.3">
      <c r="A317" s="35">
        <v>5226</v>
      </c>
      <c r="B317" s="17" t="s">
        <v>443</v>
      </c>
      <c r="C317" s="18" t="s">
        <v>0</v>
      </c>
      <c r="D317" s="45" t="s">
        <v>53</v>
      </c>
      <c r="E317" s="51" t="s">
        <v>54</v>
      </c>
      <c r="F317" s="21" t="s">
        <v>31</v>
      </c>
      <c r="G317" s="21" t="s">
        <v>55</v>
      </c>
      <c r="H317" s="26">
        <v>53</v>
      </c>
      <c r="I317" s="27"/>
      <c r="J317" s="22">
        <v>281</v>
      </c>
      <c r="K317" s="23">
        <f>J317*(1-$H$2)</f>
        <v>112.4</v>
      </c>
      <c r="L317" s="24">
        <f>K317*I317</f>
        <v>0</v>
      </c>
      <c r="M317" s="25">
        <v>1</v>
      </c>
    </row>
    <row r="318" spans="1:13" x14ac:dyDescent="0.3">
      <c r="A318" s="35">
        <v>5227</v>
      </c>
      <c r="B318" s="17" t="s">
        <v>443</v>
      </c>
      <c r="C318" s="18" t="s">
        <v>0</v>
      </c>
      <c r="D318" s="45" t="s">
        <v>56</v>
      </c>
      <c r="E318" s="51" t="s">
        <v>57</v>
      </c>
      <c r="F318" s="21" t="s">
        <v>31</v>
      </c>
      <c r="G318" s="21" t="s">
        <v>55</v>
      </c>
      <c r="H318" s="58">
        <v>53</v>
      </c>
      <c r="I318" s="27"/>
      <c r="J318" s="22">
        <v>281</v>
      </c>
      <c r="K318" s="23">
        <f>J318*(1-$H$2)</f>
        <v>112.4</v>
      </c>
      <c r="L318" s="24">
        <f>K318*I318</f>
        <v>0</v>
      </c>
      <c r="M318" s="25">
        <v>1</v>
      </c>
    </row>
    <row r="319" spans="1:13" x14ac:dyDescent="0.3">
      <c r="A319" s="35">
        <v>5233</v>
      </c>
      <c r="B319" s="17" t="s">
        <v>444</v>
      </c>
      <c r="C319" s="18" t="s">
        <v>0</v>
      </c>
      <c r="D319" s="19" t="s">
        <v>88</v>
      </c>
      <c r="E319" s="20" t="s">
        <v>89</v>
      </c>
      <c r="F319" s="21" t="s">
        <v>24</v>
      </c>
      <c r="G319" s="21" t="s">
        <v>90</v>
      </c>
      <c r="H319" s="58">
        <v>188</v>
      </c>
      <c r="I319" s="27"/>
      <c r="J319" s="22">
        <v>315</v>
      </c>
      <c r="K319" s="23">
        <f>J319*(1-$H$2)</f>
        <v>126</v>
      </c>
      <c r="L319" s="24">
        <f>K319*I319</f>
        <v>0</v>
      </c>
      <c r="M319" s="25">
        <v>0</v>
      </c>
    </row>
    <row r="320" spans="1:13" x14ac:dyDescent="0.3">
      <c r="A320" s="35">
        <v>5236</v>
      </c>
      <c r="B320" s="17" t="s">
        <v>445</v>
      </c>
      <c r="C320" s="18" t="s">
        <v>0</v>
      </c>
      <c r="D320" s="19" t="s">
        <v>43</v>
      </c>
      <c r="E320" s="20" t="s">
        <v>44</v>
      </c>
      <c r="F320" s="21" t="s">
        <v>31</v>
      </c>
      <c r="G320" s="21" t="s">
        <v>45</v>
      </c>
      <c r="H320" s="26">
        <v>61</v>
      </c>
      <c r="I320" s="27"/>
      <c r="J320" s="22">
        <v>207</v>
      </c>
      <c r="K320" s="23">
        <f>J320*(1-$H$2)</f>
        <v>82.800000000000011</v>
      </c>
      <c r="L320" s="24">
        <f>K320*I320</f>
        <v>0</v>
      </c>
      <c r="M320" s="25">
        <v>0</v>
      </c>
    </row>
    <row r="321" spans="1:13" x14ac:dyDescent="0.3">
      <c r="A321" s="35">
        <v>5237</v>
      </c>
      <c r="B321" s="39" t="s">
        <v>445</v>
      </c>
      <c r="C321" s="41" t="s">
        <v>0</v>
      </c>
      <c r="D321" s="43" t="s">
        <v>46</v>
      </c>
      <c r="E321" s="49" t="s">
        <v>47</v>
      </c>
      <c r="F321" s="55" t="s">
        <v>31</v>
      </c>
      <c r="G321" s="55" t="s">
        <v>45</v>
      </c>
      <c r="H321" s="57">
        <v>62</v>
      </c>
      <c r="I321" s="61"/>
      <c r="J321" s="63">
        <v>207</v>
      </c>
      <c r="K321" s="65">
        <f>J321*(1-$H$2)</f>
        <v>82.800000000000011</v>
      </c>
      <c r="L321" s="67">
        <f>K321*I321</f>
        <v>0</v>
      </c>
      <c r="M321" s="16">
        <v>1</v>
      </c>
    </row>
    <row r="322" spans="1:13" x14ac:dyDescent="0.3">
      <c r="A322" s="35">
        <v>5300</v>
      </c>
      <c r="B322" s="39" t="s">
        <v>446</v>
      </c>
      <c r="C322" s="41" t="s">
        <v>0</v>
      </c>
      <c r="D322" s="43" t="s">
        <v>88</v>
      </c>
      <c r="E322" s="49" t="s">
        <v>89</v>
      </c>
      <c r="F322" s="55" t="s">
        <v>24</v>
      </c>
      <c r="G322" s="55" t="s">
        <v>90</v>
      </c>
      <c r="H322" s="57">
        <v>188</v>
      </c>
      <c r="I322" s="61"/>
      <c r="J322" s="63">
        <v>315</v>
      </c>
      <c r="K322" s="65">
        <f>J322*(1-$H$2)</f>
        <v>126</v>
      </c>
      <c r="L322" s="67">
        <f>K322*I322</f>
        <v>0</v>
      </c>
      <c r="M322" s="16">
        <v>1</v>
      </c>
    </row>
    <row r="323" spans="1:13" x14ac:dyDescent="0.3">
      <c r="A323" s="35">
        <v>5301</v>
      </c>
      <c r="B323" s="17" t="s">
        <v>446</v>
      </c>
      <c r="C323" s="18" t="s">
        <v>0</v>
      </c>
      <c r="D323" s="45" t="s">
        <v>53</v>
      </c>
      <c r="E323" s="51" t="s">
        <v>54</v>
      </c>
      <c r="F323" s="21" t="s">
        <v>31</v>
      </c>
      <c r="G323" s="21" t="s">
        <v>55</v>
      </c>
      <c r="H323" s="26">
        <v>53</v>
      </c>
      <c r="I323" s="27"/>
      <c r="J323" s="22">
        <v>281</v>
      </c>
      <c r="K323" s="23">
        <f>J323*(1-$H$2)</f>
        <v>112.4</v>
      </c>
      <c r="L323" s="24">
        <f>K323*I323</f>
        <v>0</v>
      </c>
      <c r="M323" s="25">
        <v>1</v>
      </c>
    </row>
    <row r="324" spans="1:13" x14ac:dyDescent="0.3">
      <c r="A324" s="35">
        <v>5302</v>
      </c>
      <c r="B324" s="17" t="s">
        <v>446</v>
      </c>
      <c r="C324" s="18" t="s">
        <v>0</v>
      </c>
      <c r="D324" s="19" t="s">
        <v>56</v>
      </c>
      <c r="E324" s="20" t="s">
        <v>57</v>
      </c>
      <c r="F324" s="21" t="s">
        <v>31</v>
      </c>
      <c r="G324" s="21" t="s">
        <v>55</v>
      </c>
      <c r="H324" s="26">
        <v>53</v>
      </c>
      <c r="I324" s="27"/>
      <c r="J324" s="22">
        <v>281</v>
      </c>
      <c r="K324" s="23">
        <f>J324*(1-$H$2)</f>
        <v>112.4</v>
      </c>
      <c r="L324" s="24">
        <f>K324*I324</f>
        <v>0</v>
      </c>
      <c r="M324" s="25">
        <v>0</v>
      </c>
    </row>
    <row r="325" spans="1:13" x14ac:dyDescent="0.3">
      <c r="A325" s="35">
        <v>5311</v>
      </c>
      <c r="B325" s="39" t="s">
        <v>447</v>
      </c>
      <c r="C325" s="41" t="s">
        <v>0</v>
      </c>
      <c r="D325" s="43" t="s">
        <v>82</v>
      </c>
      <c r="E325" s="49" t="s">
        <v>83</v>
      </c>
      <c r="F325" s="55" t="s">
        <v>18</v>
      </c>
      <c r="G325" s="55" t="s">
        <v>84</v>
      </c>
      <c r="H325" s="57">
        <v>69</v>
      </c>
      <c r="I325" s="61"/>
      <c r="J325" s="63">
        <v>329</v>
      </c>
      <c r="K325" s="65">
        <f>J325*(1-$H$2)</f>
        <v>131.6</v>
      </c>
      <c r="L325" s="67">
        <f>K325*I325</f>
        <v>0</v>
      </c>
      <c r="M325" s="16">
        <v>1</v>
      </c>
    </row>
    <row r="326" spans="1:13" x14ac:dyDescent="0.3">
      <c r="A326" s="35">
        <v>5312</v>
      </c>
      <c r="B326" s="17" t="s">
        <v>447</v>
      </c>
      <c r="C326" s="18" t="s">
        <v>0</v>
      </c>
      <c r="D326" s="19" t="s">
        <v>85</v>
      </c>
      <c r="E326" s="20" t="s">
        <v>86</v>
      </c>
      <c r="F326" s="21" t="s">
        <v>18</v>
      </c>
      <c r="G326" s="21" t="s">
        <v>87</v>
      </c>
      <c r="H326" s="26">
        <v>69</v>
      </c>
      <c r="I326" s="27"/>
      <c r="J326" s="22">
        <v>329</v>
      </c>
      <c r="K326" s="23">
        <f>J326*(1-$H$2)</f>
        <v>131.6</v>
      </c>
      <c r="L326" s="24">
        <f>K326*I326</f>
        <v>0</v>
      </c>
      <c r="M326" s="25">
        <v>0</v>
      </c>
    </row>
    <row r="327" spans="1:13" x14ac:dyDescent="0.3">
      <c r="A327" s="35">
        <v>5315</v>
      </c>
      <c r="B327" s="39" t="s">
        <v>447</v>
      </c>
      <c r="C327" s="41" t="s">
        <v>0</v>
      </c>
      <c r="D327" s="43" t="s">
        <v>88</v>
      </c>
      <c r="E327" s="49" t="s">
        <v>89</v>
      </c>
      <c r="F327" s="55" t="s">
        <v>24</v>
      </c>
      <c r="G327" s="55" t="s">
        <v>90</v>
      </c>
      <c r="H327" s="57">
        <v>188</v>
      </c>
      <c r="I327" s="61"/>
      <c r="J327" s="63">
        <v>315</v>
      </c>
      <c r="K327" s="65">
        <f>J327*(1-$H$2)</f>
        <v>126</v>
      </c>
      <c r="L327" s="67">
        <f>K327*I327</f>
        <v>0</v>
      </c>
      <c r="M327" s="16">
        <v>1</v>
      </c>
    </row>
    <row r="328" spans="1:13" x14ac:dyDescent="0.3">
      <c r="A328" s="35">
        <v>5316</v>
      </c>
      <c r="B328" s="39" t="s">
        <v>447</v>
      </c>
      <c r="C328" s="41" t="s">
        <v>0</v>
      </c>
      <c r="D328" s="43" t="s">
        <v>53</v>
      </c>
      <c r="E328" s="49" t="s">
        <v>54</v>
      </c>
      <c r="F328" s="55" t="s">
        <v>31</v>
      </c>
      <c r="G328" s="55" t="s">
        <v>55</v>
      </c>
      <c r="H328" s="57">
        <v>53</v>
      </c>
      <c r="I328" s="61"/>
      <c r="J328" s="63">
        <v>281</v>
      </c>
      <c r="K328" s="65">
        <f>J328*(1-$H$2)</f>
        <v>112.4</v>
      </c>
      <c r="L328" s="67">
        <f>K328*I328</f>
        <v>0</v>
      </c>
      <c r="M328" s="16">
        <v>1</v>
      </c>
    </row>
    <row r="329" spans="1:13" x14ac:dyDescent="0.3">
      <c r="A329" s="35">
        <v>5317</v>
      </c>
      <c r="B329" s="39" t="s">
        <v>447</v>
      </c>
      <c r="C329" s="41" t="s">
        <v>0</v>
      </c>
      <c r="D329" s="43" t="s">
        <v>56</v>
      </c>
      <c r="E329" s="49" t="s">
        <v>57</v>
      </c>
      <c r="F329" s="55" t="s">
        <v>31</v>
      </c>
      <c r="G329" s="55" t="s">
        <v>55</v>
      </c>
      <c r="H329" s="57">
        <v>53</v>
      </c>
      <c r="I329" s="61"/>
      <c r="J329" s="63">
        <v>281</v>
      </c>
      <c r="K329" s="65">
        <f>J329*(1-$H$2)</f>
        <v>112.4</v>
      </c>
      <c r="L329" s="67">
        <f>K329*I329</f>
        <v>0</v>
      </c>
      <c r="M329" s="16">
        <v>1</v>
      </c>
    </row>
    <row r="330" spans="1:13" x14ac:dyDescent="0.3">
      <c r="A330" s="35">
        <v>5328</v>
      </c>
      <c r="B330" s="17" t="s">
        <v>448</v>
      </c>
      <c r="C330" s="18" t="s">
        <v>0</v>
      </c>
      <c r="D330" s="19" t="s">
        <v>82</v>
      </c>
      <c r="E330" s="20" t="s">
        <v>83</v>
      </c>
      <c r="F330" s="21" t="s">
        <v>18</v>
      </c>
      <c r="G330" s="21" t="s">
        <v>84</v>
      </c>
      <c r="H330" s="58">
        <v>69</v>
      </c>
      <c r="I330" s="27"/>
      <c r="J330" s="22">
        <v>329</v>
      </c>
      <c r="K330" s="23">
        <f>J330*(1-$H$2)</f>
        <v>131.6</v>
      </c>
      <c r="L330" s="24">
        <f>K330*I330</f>
        <v>0</v>
      </c>
      <c r="M330" s="25">
        <v>0</v>
      </c>
    </row>
    <row r="331" spans="1:13" x14ac:dyDescent="0.3">
      <c r="A331" s="35">
        <v>5329</v>
      </c>
      <c r="B331" s="39" t="s">
        <v>448</v>
      </c>
      <c r="C331" s="41" t="s">
        <v>0</v>
      </c>
      <c r="D331" s="43" t="s">
        <v>85</v>
      </c>
      <c r="E331" s="49" t="s">
        <v>86</v>
      </c>
      <c r="F331" s="55" t="s">
        <v>18</v>
      </c>
      <c r="G331" s="55" t="s">
        <v>87</v>
      </c>
      <c r="H331" s="57">
        <v>69</v>
      </c>
      <c r="I331" s="61"/>
      <c r="J331" s="63">
        <v>329</v>
      </c>
      <c r="K331" s="65">
        <f>J331*(1-$H$2)</f>
        <v>131.6</v>
      </c>
      <c r="L331" s="67">
        <f>K331*I331</f>
        <v>0</v>
      </c>
      <c r="M331" s="16">
        <v>1</v>
      </c>
    </row>
    <row r="332" spans="1:13" x14ac:dyDescent="0.3">
      <c r="A332" s="35">
        <v>5330</v>
      </c>
      <c r="B332" s="17" t="s">
        <v>448</v>
      </c>
      <c r="C332" s="18" t="s">
        <v>0</v>
      </c>
      <c r="D332" s="45" t="s">
        <v>88</v>
      </c>
      <c r="E332" s="51" t="s">
        <v>89</v>
      </c>
      <c r="F332" s="21" t="s">
        <v>24</v>
      </c>
      <c r="G332" s="21" t="s">
        <v>90</v>
      </c>
      <c r="H332" s="26">
        <v>188</v>
      </c>
      <c r="I332" s="27"/>
      <c r="J332" s="22">
        <v>315</v>
      </c>
      <c r="K332" s="23">
        <f>J332*(1-$H$2)</f>
        <v>126</v>
      </c>
      <c r="L332" s="24">
        <f>K332*I332</f>
        <v>0</v>
      </c>
      <c r="M332" s="25">
        <v>1</v>
      </c>
    </row>
    <row r="333" spans="1:13" x14ac:dyDescent="0.3">
      <c r="A333" s="35">
        <v>5331</v>
      </c>
      <c r="B333" s="39" t="s">
        <v>448</v>
      </c>
      <c r="C333" s="41" t="s">
        <v>0</v>
      </c>
      <c r="D333" s="43" t="s">
        <v>53</v>
      </c>
      <c r="E333" s="49" t="s">
        <v>54</v>
      </c>
      <c r="F333" s="55" t="s">
        <v>31</v>
      </c>
      <c r="G333" s="55" t="s">
        <v>55</v>
      </c>
      <c r="H333" s="57">
        <v>53</v>
      </c>
      <c r="I333" s="61"/>
      <c r="J333" s="63">
        <v>281</v>
      </c>
      <c r="K333" s="65">
        <f>J333*(1-$H$2)</f>
        <v>112.4</v>
      </c>
      <c r="L333" s="67">
        <f>K333*I333</f>
        <v>0</v>
      </c>
      <c r="M333" s="16">
        <v>1</v>
      </c>
    </row>
    <row r="334" spans="1:13" x14ac:dyDescent="0.3">
      <c r="A334" s="35">
        <v>5332</v>
      </c>
      <c r="B334" s="39" t="s">
        <v>448</v>
      </c>
      <c r="C334" s="41" t="s">
        <v>0</v>
      </c>
      <c r="D334" s="43" t="s">
        <v>56</v>
      </c>
      <c r="E334" s="49" t="s">
        <v>57</v>
      </c>
      <c r="F334" s="55" t="s">
        <v>31</v>
      </c>
      <c r="G334" s="55" t="s">
        <v>55</v>
      </c>
      <c r="H334" s="57">
        <v>53</v>
      </c>
      <c r="I334" s="61"/>
      <c r="J334" s="63">
        <v>281</v>
      </c>
      <c r="K334" s="65">
        <f>J334*(1-$H$2)</f>
        <v>112.4</v>
      </c>
      <c r="L334" s="67">
        <f>K334*I334</f>
        <v>0</v>
      </c>
      <c r="M334" s="16">
        <v>1</v>
      </c>
    </row>
    <row r="335" spans="1:13" x14ac:dyDescent="0.3">
      <c r="A335" s="35">
        <v>5338</v>
      </c>
      <c r="B335" s="17" t="s">
        <v>449</v>
      </c>
      <c r="C335" s="18" t="s">
        <v>0</v>
      </c>
      <c r="D335" s="45" t="s">
        <v>88</v>
      </c>
      <c r="E335" s="51" t="s">
        <v>89</v>
      </c>
      <c r="F335" s="21" t="s">
        <v>24</v>
      </c>
      <c r="G335" s="21" t="s">
        <v>90</v>
      </c>
      <c r="H335" s="58">
        <v>188</v>
      </c>
      <c r="I335" s="27"/>
      <c r="J335" s="22">
        <v>315</v>
      </c>
      <c r="K335" s="23">
        <f>J335*(1-$H$2)</f>
        <v>126</v>
      </c>
      <c r="L335" s="24">
        <f>K335*I335</f>
        <v>0</v>
      </c>
      <c r="M335" s="25">
        <v>1</v>
      </c>
    </row>
    <row r="336" spans="1:13" x14ac:dyDescent="0.3">
      <c r="A336" s="35">
        <v>5339</v>
      </c>
      <c r="B336" s="17" t="s">
        <v>449</v>
      </c>
      <c r="C336" s="18" t="s">
        <v>0</v>
      </c>
      <c r="D336" s="45" t="s">
        <v>53</v>
      </c>
      <c r="E336" s="51" t="s">
        <v>54</v>
      </c>
      <c r="F336" s="21" t="s">
        <v>31</v>
      </c>
      <c r="G336" s="21" t="s">
        <v>55</v>
      </c>
      <c r="H336" s="58">
        <v>53</v>
      </c>
      <c r="I336" s="27"/>
      <c r="J336" s="22">
        <v>281</v>
      </c>
      <c r="K336" s="23">
        <f>J336*(1-$H$2)</f>
        <v>112.4</v>
      </c>
      <c r="L336" s="24">
        <f>K336*I336</f>
        <v>0</v>
      </c>
      <c r="M336" s="25">
        <v>1</v>
      </c>
    </row>
    <row r="337" spans="1:13" x14ac:dyDescent="0.3">
      <c r="A337" s="35">
        <v>5340</v>
      </c>
      <c r="B337" s="39" t="s">
        <v>449</v>
      </c>
      <c r="C337" s="41" t="s">
        <v>0</v>
      </c>
      <c r="D337" s="43" t="s">
        <v>56</v>
      </c>
      <c r="E337" s="49" t="s">
        <v>57</v>
      </c>
      <c r="F337" s="55" t="s">
        <v>31</v>
      </c>
      <c r="G337" s="55" t="s">
        <v>55</v>
      </c>
      <c r="H337" s="57">
        <v>53</v>
      </c>
      <c r="I337" s="61"/>
      <c r="J337" s="63">
        <v>281</v>
      </c>
      <c r="K337" s="65">
        <f>J337*(1-$H$2)</f>
        <v>112.4</v>
      </c>
      <c r="L337" s="67">
        <f>K337*I337</f>
        <v>0</v>
      </c>
      <c r="M337" s="16">
        <v>1</v>
      </c>
    </row>
    <row r="338" spans="1:13" x14ac:dyDescent="0.3">
      <c r="A338" s="35">
        <v>5345</v>
      </c>
      <c r="B338" s="17" t="s">
        <v>450</v>
      </c>
      <c r="C338" s="18" t="s">
        <v>0</v>
      </c>
      <c r="D338" s="45" t="s">
        <v>88</v>
      </c>
      <c r="E338" s="51" t="s">
        <v>89</v>
      </c>
      <c r="F338" s="21" t="s">
        <v>24</v>
      </c>
      <c r="G338" s="21" t="s">
        <v>90</v>
      </c>
      <c r="H338" s="26">
        <v>188</v>
      </c>
      <c r="I338" s="27"/>
      <c r="J338" s="22">
        <v>315</v>
      </c>
      <c r="K338" s="23">
        <f>J338*(1-$H$2)</f>
        <v>126</v>
      </c>
      <c r="L338" s="24">
        <f>K338*I338</f>
        <v>0</v>
      </c>
      <c r="M338" s="25">
        <v>1</v>
      </c>
    </row>
    <row r="339" spans="1:13" x14ac:dyDescent="0.3">
      <c r="A339" s="35">
        <v>5382</v>
      </c>
      <c r="B339" s="39" t="s">
        <v>451</v>
      </c>
      <c r="C339" s="41" t="s">
        <v>0</v>
      </c>
      <c r="D339" s="43" t="s">
        <v>82</v>
      </c>
      <c r="E339" s="49" t="s">
        <v>83</v>
      </c>
      <c r="F339" s="55" t="s">
        <v>18</v>
      </c>
      <c r="G339" s="55" t="s">
        <v>84</v>
      </c>
      <c r="H339" s="57">
        <v>69</v>
      </c>
      <c r="I339" s="61"/>
      <c r="J339" s="63">
        <v>329</v>
      </c>
      <c r="K339" s="65">
        <f>J339*(1-$H$2)</f>
        <v>131.6</v>
      </c>
      <c r="L339" s="67">
        <f>K339*I339</f>
        <v>0</v>
      </c>
      <c r="M339" s="16">
        <v>1</v>
      </c>
    </row>
    <row r="340" spans="1:13" x14ac:dyDescent="0.3">
      <c r="A340" s="35">
        <v>5383</v>
      </c>
      <c r="B340" s="39" t="s">
        <v>451</v>
      </c>
      <c r="C340" s="41" t="s">
        <v>0</v>
      </c>
      <c r="D340" s="43" t="s">
        <v>85</v>
      </c>
      <c r="E340" s="49" t="s">
        <v>86</v>
      </c>
      <c r="F340" s="55" t="s">
        <v>18</v>
      </c>
      <c r="G340" s="55" t="s">
        <v>87</v>
      </c>
      <c r="H340" s="57">
        <v>69</v>
      </c>
      <c r="I340" s="61"/>
      <c r="J340" s="63">
        <v>329</v>
      </c>
      <c r="K340" s="65">
        <f>J340*(1-$H$2)</f>
        <v>131.6</v>
      </c>
      <c r="L340" s="67">
        <f>K340*I340</f>
        <v>0</v>
      </c>
      <c r="M340" s="16">
        <v>1</v>
      </c>
    </row>
    <row r="341" spans="1:13" x14ac:dyDescent="0.3">
      <c r="A341" s="35">
        <v>5386</v>
      </c>
      <c r="B341" s="39" t="s">
        <v>451</v>
      </c>
      <c r="C341" s="41" t="s">
        <v>0</v>
      </c>
      <c r="D341" s="43" t="s">
        <v>88</v>
      </c>
      <c r="E341" s="49" t="s">
        <v>89</v>
      </c>
      <c r="F341" s="55" t="s">
        <v>24</v>
      </c>
      <c r="G341" s="55" t="s">
        <v>90</v>
      </c>
      <c r="H341" s="57">
        <v>188</v>
      </c>
      <c r="I341" s="61"/>
      <c r="J341" s="63">
        <v>315</v>
      </c>
      <c r="K341" s="65">
        <f>J341*(1-$H$2)</f>
        <v>126</v>
      </c>
      <c r="L341" s="67">
        <f>K341*I341</f>
        <v>0</v>
      </c>
      <c r="M341" s="16">
        <v>1</v>
      </c>
    </row>
    <row r="342" spans="1:13" x14ac:dyDescent="0.3">
      <c r="A342" s="35">
        <v>5388</v>
      </c>
      <c r="B342" s="39" t="s">
        <v>451</v>
      </c>
      <c r="C342" s="41" t="s">
        <v>0</v>
      </c>
      <c r="D342" s="43" t="s">
        <v>53</v>
      </c>
      <c r="E342" s="49" t="s">
        <v>54</v>
      </c>
      <c r="F342" s="55" t="s">
        <v>31</v>
      </c>
      <c r="G342" s="55" t="s">
        <v>55</v>
      </c>
      <c r="H342" s="57">
        <v>53</v>
      </c>
      <c r="I342" s="61"/>
      <c r="J342" s="63">
        <v>281</v>
      </c>
      <c r="K342" s="65">
        <f>J342*(1-$H$2)</f>
        <v>112.4</v>
      </c>
      <c r="L342" s="67">
        <f>K342*I342</f>
        <v>0</v>
      </c>
      <c r="M342" s="16">
        <v>1</v>
      </c>
    </row>
    <row r="343" spans="1:13" x14ac:dyDescent="0.3">
      <c r="A343" s="35">
        <v>5389</v>
      </c>
      <c r="B343" s="39" t="s">
        <v>451</v>
      </c>
      <c r="C343" s="41" t="s">
        <v>0</v>
      </c>
      <c r="D343" s="43" t="s">
        <v>56</v>
      </c>
      <c r="E343" s="49" t="s">
        <v>57</v>
      </c>
      <c r="F343" s="55" t="s">
        <v>31</v>
      </c>
      <c r="G343" s="55" t="s">
        <v>55</v>
      </c>
      <c r="H343" s="57">
        <v>53</v>
      </c>
      <c r="I343" s="61"/>
      <c r="J343" s="63">
        <v>281</v>
      </c>
      <c r="K343" s="65">
        <f>J343*(1-$H$2)</f>
        <v>112.4</v>
      </c>
      <c r="L343" s="67">
        <f>K343*I343</f>
        <v>0</v>
      </c>
      <c r="M343" s="16">
        <v>1</v>
      </c>
    </row>
    <row r="344" spans="1:13" x14ac:dyDescent="0.3">
      <c r="A344" s="35">
        <v>5397</v>
      </c>
      <c r="B344" s="39" t="s">
        <v>452</v>
      </c>
      <c r="C344" s="41" t="s">
        <v>0</v>
      </c>
      <c r="D344" s="43" t="s">
        <v>88</v>
      </c>
      <c r="E344" s="49" t="s">
        <v>89</v>
      </c>
      <c r="F344" s="55" t="s">
        <v>24</v>
      </c>
      <c r="G344" s="55" t="s">
        <v>90</v>
      </c>
      <c r="H344" s="57">
        <v>188</v>
      </c>
      <c r="I344" s="61"/>
      <c r="J344" s="63">
        <v>315</v>
      </c>
      <c r="K344" s="65">
        <f>J344*(1-$H$2)</f>
        <v>126</v>
      </c>
      <c r="L344" s="67">
        <f>K344*I344</f>
        <v>0</v>
      </c>
      <c r="M344" s="16">
        <v>1</v>
      </c>
    </row>
    <row r="345" spans="1:13" x14ac:dyDescent="0.3">
      <c r="A345" s="35">
        <v>5441</v>
      </c>
      <c r="B345" s="39" t="s">
        <v>453</v>
      </c>
      <c r="C345" s="41" t="s">
        <v>0</v>
      </c>
      <c r="D345" s="47" t="s">
        <v>454</v>
      </c>
      <c r="E345" s="53" t="s">
        <v>0</v>
      </c>
      <c r="F345" s="55" t="s">
        <v>455</v>
      </c>
      <c r="G345" s="55" t="s">
        <v>455</v>
      </c>
      <c r="H345" s="57">
        <v>156</v>
      </c>
      <c r="I345" s="61"/>
      <c r="J345" s="63">
        <v>0</v>
      </c>
      <c r="K345" s="65">
        <f>J345*(1-$H$2)</f>
        <v>0</v>
      </c>
      <c r="L345" s="67">
        <f>K345*I345</f>
        <v>0</v>
      </c>
      <c r="M345" s="16">
        <v>1</v>
      </c>
    </row>
    <row r="346" spans="1:13" x14ac:dyDescent="0.3">
      <c r="A346" s="35">
        <v>5447</v>
      </c>
      <c r="B346" s="39" t="s">
        <v>453</v>
      </c>
      <c r="C346" s="41" t="s">
        <v>0</v>
      </c>
      <c r="D346" s="47" t="s">
        <v>456</v>
      </c>
      <c r="E346" s="53" t="s">
        <v>0</v>
      </c>
      <c r="F346" s="55" t="s">
        <v>457</v>
      </c>
      <c r="G346" s="55" t="s">
        <v>457</v>
      </c>
      <c r="H346" s="57">
        <v>86</v>
      </c>
      <c r="I346" s="61"/>
      <c r="J346" s="63">
        <v>0</v>
      </c>
      <c r="K346" s="65">
        <f>J346*(1-$H$2)</f>
        <v>0</v>
      </c>
      <c r="L346" s="67">
        <f>K346*I346</f>
        <v>0</v>
      </c>
      <c r="M346" s="16">
        <v>1</v>
      </c>
    </row>
    <row r="347" spans="1:13" x14ac:dyDescent="0.3">
      <c r="A347" s="35">
        <v>5448</v>
      </c>
      <c r="B347" s="39" t="s">
        <v>453</v>
      </c>
      <c r="C347" s="41" t="s">
        <v>0</v>
      </c>
      <c r="D347" s="47" t="s">
        <v>458</v>
      </c>
      <c r="E347" s="53" t="s">
        <v>0</v>
      </c>
      <c r="F347" s="55" t="s">
        <v>459</v>
      </c>
      <c r="G347" s="55" t="s">
        <v>459</v>
      </c>
      <c r="H347" s="57">
        <v>363</v>
      </c>
      <c r="I347" s="61"/>
      <c r="J347" s="63">
        <v>0</v>
      </c>
      <c r="K347" s="65">
        <f>J347*(1-$H$2)</f>
        <v>0</v>
      </c>
      <c r="L347" s="67">
        <f>K347*I347</f>
        <v>0</v>
      </c>
      <c r="M347" s="16">
        <v>1</v>
      </c>
    </row>
    <row r="348" spans="1:13" x14ac:dyDescent="0.3">
      <c r="A348" s="35">
        <v>5449</v>
      </c>
      <c r="B348" s="39" t="s">
        <v>453</v>
      </c>
      <c r="C348" s="41" t="s">
        <v>0</v>
      </c>
      <c r="D348" s="47" t="s">
        <v>460</v>
      </c>
      <c r="E348" s="53" t="s">
        <v>0</v>
      </c>
      <c r="F348" s="55" t="s">
        <v>461</v>
      </c>
      <c r="G348" s="55" t="s">
        <v>461</v>
      </c>
      <c r="H348" s="57">
        <v>333</v>
      </c>
      <c r="I348" s="61"/>
      <c r="J348" s="63">
        <v>0</v>
      </c>
      <c r="K348" s="65">
        <f>J348*(1-$H$2)</f>
        <v>0</v>
      </c>
      <c r="L348" s="67">
        <f>K348*I348</f>
        <v>0</v>
      </c>
      <c r="M348" s="16">
        <v>1</v>
      </c>
    </row>
    <row r="349" spans="1:13" x14ac:dyDescent="0.3">
      <c r="A349" s="35">
        <v>5450</v>
      </c>
      <c r="B349" s="39" t="s">
        <v>453</v>
      </c>
      <c r="C349" s="41" t="s">
        <v>0</v>
      </c>
      <c r="D349" s="47" t="s">
        <v>462</v>
      </c>
      <c r="E349" s="53" t="s">
        <v>0</v>
      </c>
      <c r="F349" s="55" t="s">
        <v>463</v>
      </c>
      <c r="G349" s="55" t="s">
        <v>463</v>
      </c>
      <c r="H349" s="57">
        <v>498</v>
      </c>
      <c r="I349" s="61"/>
      <c r="J349" s="63">
        <v>0</v>
      </c>
      <c r="K349" s="65">
        <f>J349*(1-$H$2)</f>
        <v>0</v>
      </c>
      <c r="L349" s="67">
        <f>K349*I349</f>
        <v>0</v>
      </c>
      <c r="M349" s="16">
        <v>1</v>
      </c>
    </row>
    <row r="350" spans="1:13" x14ac:dyDescent="0.3">
      <c r="A350" s="35">
        <v>5451</v>
      </c>
      <c r="B350" s="39" t="s">
        <v>453</v>
      </c>
      <c r="C350" s="41" t="s">
        <v>0</v>
      </c>
      <c r="D350" s="47" t="s">
        <v>464</v>
      </c>
      <c r="E350" s="53" t="s">
        <v>0</v>
      </c>
      <c r="F350" s="55" t="s">
        <v>465</v>
      </c>
      <c r="G350" s="55" t="s">
        <v>465</v>
      </c>
      <c r="H350" s="57">
        <v>579</v>
      </c>
      <c r="I350" s="61"/>
      <c r="J350" s="63">
        <v>0</v>
      </c>
      <c r="K350" s="65">
        <f>J350*(1-$H$2)</f>
        <v>0</v>
      </c>
      <c r="L350" s="67">
        <f>K350*I350</f>
        <v>0</v>
      </c>
      <c r="M350" s="16">
        <v>1</v>
      </c>
    </row>
    <row r="352" spans="1:13" x14ac:dyDescent="0.3">
      <c r="B352" s="1" t="s">
        <v>0</v>
      </c>
      <c r="C352" s="1" t="s">
        <v>0</v>
      </c>
      <c r="D352" s="1" t="s">
        <v>0</v>
      </c>
      <c r="E352" s="1" t="s">
        <v>0</v>
      </c>
      <c r="F352" s="1" t="s">
        <v>0</v>
      </c>
      <c r="G352" s="1" t="s">
        <v>0</v>
      </c>
      <c r="H352" s="1" t="s">
        <v>0</v>
      </c>
      <c r="I352" s="1" t="s">
        <v>0</v>
      </c>
      <c r="J352" s="1" t="s">
        <v>0</v>
      </c>
      <c r="K352" s="29" t="s">
        <v>466</v>
      </c>
      <c r="L352" s="30">
        <f>SUMPRODUCT($L$5:$L$350,$M$5:$M$350)</f>
        <v>0</v>
      </c>
    </row>
    <row r="353" spans="2:12" x14ac:dyDescent="0.3">
      <c r="B353" s="1" t="s">
        <v>0</v>
      </c>
      <c r="C353" s="1" t="s">
        <v>0</v>
      </c>
      <c r="D353" s="1" t="s">
        <v>0</v>
      </c>
      <c r="E353" s="1" t="s">
        <v>0</v>
      </c>
      <c r="F353" s="1" t="s">
        <v>0</v>
      </c>
      <c r="G353" s="1" t="s">
        <v>0</v>
      </c>
      <c r="H353" s="1" t="s">
        <v>0</v>
      </c>
      <c r="I353" s="1" t="s">
        <v>0</v>
      </c>
      <c r="J353" s="1" t="s">
        <v>0</v>
      </c>
      <c r="K353" s="29" t="s">
        <v>467</v>
      </c>
      <c r="L353" s="30">
        <f>L352*0.16</f>
        <v>0</v>
      </c>
    </row>
    <row r="354" spans="2:12" x14ac:dyDescent="0.3">
      <c r="B354" s="1" t="s">
        <v>0</v>
      </c>
      <c r="C354" s="1" t="s">
        <v>0</v>
      </c>
      <c r="D354" s="1" t="s">
        <v>0</v>
      </c>
      <c r="E354" s="1" t="s">
        <v>0</v>
      </c>
      <c r="F354" s="1" t="s">
        <v>0</v>
      </c>
      <c r="G354" s="1" t="s">
        <v>0</v>
      </c>
      <c r="H354" s="1" t="s">
        <v>0</v>
      </c>
      <c r="I354" s="1" t="s">
        <v>0</v>
      </c>
      <c r="J354" s="1" t="s">
        <v>0</v>
      </c>
      <c r="K354" s="29" t="s">
        <v>468</v>
      </c>
      <c r="L354" s="30">
        <f>L352+L353</f>
        <v>0</v>
      </c>
    </row>
    <row r="355" spans="2:12" x14ac:dyDescent="0.3">
      <c r="B355" s="1" t="s">
        <v>0</v>
      </c>
      <c r="C355" s="1" t="s">
        <v>0</v>
      </c>
      <c r="D355" s="1" t="s">
        <v>0</v>
      </c>
      <c r="E355" s="1" t="s">
        <v>0</v>
      </c>
      <c r="F355" s="1" t="s">
        <v>0</v>
      </c>
      <c r="G355" s="1" t="s">
        <v>0</v>
      </c>
      <c r="H355" s="1" t="s">
        <v>0</v>
      </c>
      <c r="I355" s="1" t="s">
        <v>0</v>
      </c>
      <c r="J355" s="1" t="s">
        <v>0</v>
      </c>
      <c r="K355" s="31" t="s">
        <v>469</v>
      </c>
      <c r="L355" s="32">
        <f>SUM(L5:L350)</f>
        <v>0</v>
      </c>
    </row>
  </sheetData>
  <autoFilter ref="A4:L350" xr:uid="{00000000-0001-0000-0000-000000000000}">
    <sortState xmlns:xlrd2="http://schemas.microsoft.com/office/spreadsheetml/2017/richdata2" ref="A5:L350">
      <sortCondition ref="A4:A350"/>
    </sortState>
  </autoFilter>
  <mergeCells count="2">
    <mergeCell ref="B3:L3"/>
    <mergeCell ref="F2:G2"/>
  </mergeCells>
  <phoneticPr fontId="36" type="noConversion"/>
  <pageMargins left="0.7" right="0.7" top="0.75" bottom="0.75" header="0.3" footer="0.3"/>
  <ignoredErrors>
    <ignoredError sqref="B1:H1 B3:H4 D2:F2 H2 B351:H355 M5:M350 I1:M1 I3:M4 I2:K2 I351:M355 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H. Director</cp:lastModifiedBy>
  <dcterms:modified xsi:type="dcterms:W3CDTF">2026-09-10T19:05:42Z</dcterms:modified>
</cp:coreProperties>
</file>